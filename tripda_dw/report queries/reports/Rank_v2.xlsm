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1800" yWindow="315" windowWidth="21600" windowHeight="9435" tabRatio="835"/>
  </bookViews>
  <sheets>
    <sheet name="Main" sheetId="17" r:id="rId1"/>
    <sheet name="Template" sheetId="15" r:id="rId2"/>
    <sheet name="data" sheetId="16" r:id="rId3"/>
    <sheet name="Report" sheetId="2" r:id="rId4"/>
    <sheet name="Rank" sheetId="12" r:id="rId5"/>
    <sheet name="Report (Final)" sheetId="3" r:id="rId6"/>
  </sheets>
  <definedNames>
    <definedName name="D_\home\ricardo\Tripda\Modelo_DW\tripda_data_warehouse\report_queries\reports\report_generator.csv" localSheetId="2">data!$A$1:$R$49</definedName>
    <definedName name="_xlnm.Print_Area" localSheetId="0">Main!$A:$BF</definedName>
    <definedName name="report_generator" localSheetId="2">data!$A$1:$R$49</definedName>
    <definedName name="report_generator_1" localSheetId="2">data!$A$1:$R$61</definedName>
    <definedName name="report_generator_10" localSheetId="2">data!$A$1:$R$49</definedName>
    <definedName name="report_generator_11" localSheetId="2">data!$A$1:$R$49</definedName>
    <definedName name="report_generator_12" localSheetId="2">data!$A$1:$R$49</definedName>
    <definedName name="report_generator_13" localSheetId="2">data!$A$1:$R$49</definedName>
    <definedName name="report_generator_14" localSheetId="2">data!$A$1:$R$49</definedName>
    <definedName name="report_generator_15" localSheetId="2">data!$A$1:$R$49</definedName>
    <definedName name="report_generator_16" localSheetId="2">data!$A$1:$R$49</definedName>
    <definedName name="report_generator_17" localSheetId="2">data!$A$1:$R$49</definedName>
    <definedName name="report_generator_18" localSheetId="2">data!$A$1:$R$49</definedName>
    <definedName name="report_generator_19" localSheetId="2">data!$A$1:$R$49</definedName>
    <definedName name="report_generator_2" localSheetId="2">data!$A$1:$R$61</definedName>
    <definedName name="report_generator_20" localSheetId="2">data!$A$1:$R$49</definedName>
    <definedName name="report_generator_21" localSheetId="2">data!$A$1:$R$49</definedName>
    <definedName name="report_generator_22" localSheetId="2">data!$A$1:$R$49</definedName>
    <definedName name="report_generator_23" localSheetId="2">data!$A$1:$R$49</definedName>
    <definedName name="report_generator_24" localSheetId="2">data!$A$1:$R$49</definedName>
    <definedName name="report_generator_25" localSheetId="2">data!$A$1:$R$49</definedName>
    <definedName name="report_generator_26" localSheetId="2">data!$A$1:$R$49</definedName>
    <definedName name="report_generator_27" localSheetId="2">data!$A$1:$R$49</definedName>
    <definedName name="report_generator_28" localSheetId="2">data!$A$1:$R$49</definedName>
    <definedName name="report_generator_29" localSheetId="2">data!$A$1:$R$49</definedName>
    <definedName name="report_generator_3" localSheetId="2">data!$A$1:$R$61</definedName>
    <definedName name="report_generator_30" localSheetId="2">data!$A$1:$R$49</definedName>
    <definedName name="report_generator_31" localSheetId="2">data!$A$1:$R$49</definedName>
    <definedName name="report_generator_32" localSheetId="2">data!$A$1:$R$49</definedName>
    <definedName name="report_generator_33" localSheetId="2">data!$A$1:$R$49</definedName>
    <definedName name="report_generator_34" localSheetId="2">data!$A$1:$R$49</definedName>
    <definedName name="report_generator_35" localSheetId="2">data!$A$1:$R$49</definedName>
    <definedName name="report_generator_36" localSheetId="2">data!$A$1:$R$49</definedName>
    <definedName name="report_generator_37" localSheetId="2">data!$A$1:$R$49</definedName>
    <definedName name="report_generator_38" localSheetId="2">data!$A$1:$R$49</definedName>
    <definedName name="report_generator_39" localSheetId="2">data!$A$1:$R$49</definedName>
    <definedName name="report_generator_4" localSheetId="2">data!$A$1:$R$49</definedName>
    <definedName name="report_generator_40" localSheetId="2">data!$A$1:$R$49</definedName>
    <definedName name="report_generator_41" localSheetId="2">data!$A$1:$R$49</definedName>
    <definedName name="report_generator_42" localSheetId="2">data!$A$1:$R$49</definedName>
    <definedName name="report_generator_43" localSheetId="2">data!$A$1:$R$49</definedName>
    <definedName name="report_generator_44" localSheetId="2">data!$A$1:$R$49</definedName>
    <definedName name="report_generator_45" localSheetId="2">data!$A$1:$R$49</definedName>
    <definedName name="report_generator_46" localSheetId="2">data!$A$1:$R$49</definedName>
    <definedName name="report_generator_47" localSheetId="2">data!$A$1:$R$49</definedName>
    <definedName name="report_generator_48" localSheetId="2">data!$A$1:$R$49</definedName>
    <definedName name="report_generator_49" localSheetId="2">data!$A$1:$R$49</definedName>
    <definedName name="report_generator_5" localSheetId="2">data!$A$1:$R$49</definedName>
    <definedName name="report_generator_50" localSheetId="2">data!$A$1:$R$49</definedName>
    <definedName name="report_generator_51" localSheetId="2">data!$A$1:$R$49</definedName>
    <definedName name="report_generator_52" localSheetId="2">data!$A$1:$R$49</definedName>
    <definedName name="report_generator_53" localSheetId="2">data!$A$1:$R$49</definedName>
    <definedName name="report_generator_54" localSheetId="2">data!$A$1:$R$49</definedName>
    <definedName name="report_generator_55" localSheetId="2">data!$A$1:$R$49</definedName>
    <definedName name="report_generator_56" localSheetId="2">data!$A$1:$R$49</definedName>
    <definedName name="report_generator_57" localSheetId="2">data!$A$1:$R$49</definedName>
    <definedName name="report_generator_58" localSheetId="2">data!$A$1:$R$49</definedName>
    <definedName name="report_generator_59" localSheetId="2">data!$A$1:$R$49</definedName>
    <definedName name="report_generator_6" localSheetId="2">data!$A$1:$R$49</definedName>
    <definedName name="report_generator_60" localSheetId="2">data!$A$1:$R$49</definedName>
    <definedName name="report_generator_61" localSheetId="2">data!$A$1:$R$49</definedName>
    <definedName name="report_generator_62" localSheetId="2">data!$A$1:$R$49</definedName>
    <definedName name="report_generator_63" localSheetId="2">data!$A$1:$R$49</definedName>
    <definedName name="report_generator_64" localSheetId="2">data!$A$1:$R$49</definedName>
    <definedName name="report_generator_65" localSheetId="2">data!$A$1:$R$49</definedName>
    <definedName name="report_generator_66" localSheetId="2">data!$A$1:$R$49</definedName>
    <definedName name="report_generator_7" localSheetId="2">data!$A$1:$R$49</definedName>
    <definedName name="report_generator_8" localSheetId="2">data!$A$1:$R$49</definedName>
    <definedName name="report_generator_9" localSheetId="2">data!$A$1:$R$49</definedName>
  </definedNames>
  <calcPr calcId="145621"/>
</workbook>
</file>

<file path=xl/calcChain.xml><?xml version="1.0" encoding="utf-8"?>
<calcChain xmlns="http://schemas.openxmlformats.org/spreadsheetml/2006/main">
  <c r="R9" i="2" l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W2" i="17" l="1"/>
  <c r="W3" i="17" s="1"/>
  <c r="W7" i="17" l="1"/>
  <c r="W6" i="17"/>
  <c r="W5" i="17"/>
  <c r="W4" i="17"/>
  <c r="H7" i="12"/>
  <c r="N7" i="12" s="1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6" i="12"/>
  <c r="M14" i="12" l="1"/>
  <c r="M10" i="12"/>
  <c r="M9" i="12"/>
  <c r="M6" i="12"/>
  <c r="M7" i="12"/>
  <c r="M8" i="12"/>
  <c r="M11" i="12"/>
  <c r="M12" i="12"/>
  <c r="M13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N15" i="12"/>
  <c r="N14" i="12"/>
  <c r="N13" i="12"/>
  <c r="N12" i="12"/>
  <c r="N11" i="12"/>
  <c r="N10" i="12"/>
  <c r="N9" i="12"/>
  <c r="N8" i="12"/>
  <c r="N6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K23" i="12" l="1"/>
  <c r="K8" i="12"/>
  <c r="K39" i="12"/>
  <c r="K7" i="12"/>
  <c r="K18" i="12"/>
  <c r="K34" i="12"/>
  <c r="K13" i="12"/>
  <c r="K9" i="12"/>
  <c r="K29" i="12"/>
  <c r="K38" i="12"/>
  <c r="K33" i="12"/>
  <c r="K27" i="12"/>
  <c r="K22" i="12"/>
  <c r="K17" i="12"/>
  <c r="K11" i="12"/>
  <c r="K6" i="12"/>
  <c r="K37" i="12"/>
  <c r="K31" i="12"/>
  <c r="K26" i="12"/>
  <c r="K21" i="12"/>
  <c r="K15" i="12"/>
  <c r="K10" i="12"/>
  <c r="K35" i="12"/>
  <c r="K30" i="12"/>
  <c r="K25" i="12"/>
  <c r="K19" i="12"/>
  <c r="K14" i="12"/>
  <c r="K36" i="12"/>
  <c r="K32" i="12"/>
  <c r="K28" i="12"/>
  <c r="K24" i="12"/>
  <c r="K20" i="12"/>
  <c r="K16" i="12"/>
  <c r="K12" i="12"/>
  <c r="F9" i="12" l="1"/>
  <c r="D9" i="12" s="1"/>
  <c r="E9" i="12" s="1"/>
  <c r="F6" i="12"/>
  <c r="D6" i="12" s="1"/>
  <c r="E6" i="12" s="1"/>
  <c r="F10" i="12"/>
  <c r="D10" i="12" s="1"/>
  <c r="E10" i="12" s="1"/>
  <c r="F19" i="12"/>
  <c r="D19" i="12" s="1"/>
  <c r="E19" i="12" s="1"/>
  <c r="F11" i="12"/>
  <c r="D11" i="12" s="1"/>
  <c r="E11" i="12" s="1"/>
  <c r="F7" i="12"/>
  <c r="D7" i="12" s="1"/>
  <c r="E7" i="12" s="1"/>
  <c r="F8" i="12"/>
  <c r="D8" i="12" s="1"/>
  <c r="E8" i="12" s="1"/>
  <c r="F28" i="12"/>
  <c r="D28" i="12" s="1"/>
  <c r="E28" i="12" s="1"/>
  <c r="F18" i="12"/>
  <c r="D18" i="12" s="1"/>
  <c r="E18" i="12" s="1"/>
  <c r="F39" i="12"/>
  <c r="D39" i="12" s="1"/>
  <c r="E39" i="12" s="1"/>
  <c r="F16" i="12"/>
  <c r="D16" i="12" s="1"/>
  <c r="E16" i="12" s="1"/>
  <c r="F34" i="12"/>
  <c r="D34" i="12" s="1"/>
  <c r="E34" i="12" s="1"/>
  <c r="F21" i="12"/>
  <c r="D21" i="12" s="1"/>
  <c r="E21" i="12" s="1"/>
  <c r="F25" i="12"/>
  <c r="D25" i="12" s="1"/>
  <c r="E25" i="12" s="1"/>
  <c r="F33" i="12"/>
  <c r="D33" i="12" s="1"/>
  <c r="E33" i="12" s="1"/>
  <c r="F22" i="12"/>
  <c r="D22" i="12" s="1"/>
  <c r="E22" i="12" s="1"/>
  <c r="F38" i="12"/>
  <c r="D38" i="12" s="1"/>
  <c r="E38" i="12" s="1"/>
  <c r="F23" i="12"/>
  <c r="D23" i="12" s="1"/>
  <c r="E23" i="12" s="1"/>
  <c r="F36" i="12"/>
  <c r="D36" i="12" s="1"/>
  <c r="E36" i="12" s="1"/>
  <c r="F24" i="12"/>
  <c r="D24" i="12" s="1"/>
  <c r="E24" i="12" s="1"/>
  <c r="F13" i="12"/>
  <c r="D13" i="12" s="1"/>
  <c r="E13" i="12" s="1"/>
  <c r="F17" i="12"/>
  <c r="D17" i="12" s="1"/>
  <c r="E17" i="12" s="1"/>
  <c r="F26" i="12"/>
  <c r="D26" i="12" s="1"/>
  <c r="E26" i="12" s="1"/>
  <c r="F27" i="12"/>
  <c r="D27" i="12" s="1"/>
  <c r="E27" i="12" s="1"/>
  <c r="F12" i="12"/>
  <c r="D12" i="12" s="1"/>
  <c r="E12" i="12" s="1"/>
  <c r="F32" i="12"/>
  <c r="D32" i="12" s="1"/>
  <c r="E32" i="12" s="1"/>
  <c r="F29" i="12"/>
  <c r="D29" i="12" s="1"/>
  <c r="E29" i="12" s="1"/>
  <c r="F37" i="12"/>
  <c r="D37" i="12" s="1"/>
  <c r="E37" i="12" s="1"/>
  <c r="F14" i="12"/>
  <c r="D14" i="12" s="1"/>
  <c r="E14" i="12" s="1"/>
  <c r="F30" i="12"/>
  <c r="D30" i="12" s="1"/>
  <c r="E30" i="12" s="1"/>
  <c r="F15" i="12"/>
  <c r="D15" i="12" s="1"/>
  <c r="E15" i="12" s="1"/>
  <c r="F31" i="12"/>
  <c r="D31" i="12" s="1"/>
  <c r="E31" i="12" s="1"/>
  <c r="F20" i="12"/>
  <c r="D20" i="12" s="1"/>
  <c r="E20" i="12" s="1"/>
  <c r="F35" i="12"/>
  <c r="D35" i="12" s="1"/>
  <c r="E35" i="12" s="1"/>
</calcChain>
</file>

<file path=xl/connections.xml><?xml version="1.0" encoding="utf-8"?>
<connections xmlns="http://schemas.openxmlformats.org/spreadsheetml/2006/main">
  <connection id="1" name="report_generator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" name="report_generator1" type="6" refreshedVersion="0" background="1">
    <textPr prompt="0" sourceFile="\report_generator.csv">
      <textFields>
        <textField/>
      </textFields>
    </textPr>
  </connection>
  <connection id="3" name="report_generator1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" name="report_generator1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" name="report_generator1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" name="report_generator1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7" name="report_generator1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8" name="report_generator1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9" name="report_generator1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0" name="report_generator1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1" name="report_generator1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2" name="report_generator1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3" name="report_generator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4" name="report_generator2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5" name="report_generator2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6" name="report_generator2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7" name="report_generator2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8" name="report_generator2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9" name="report_generator2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0" name="report_generator2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1" name="report_generator2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2" name="report_generator2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3" name="report_generator2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4" name="report_generator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5" name="report_generator3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6" name="report_generator3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7" name="report_generator3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8" name="report_generator3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9" name="report_generator3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0" name="report_generator3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1" name="report_generator3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2" name="report_generator3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3" name="report_generator3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4" name="report_generator3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5" name="report_generator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6" name="report_generator4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7" name="report_generator4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8" name="report_generator4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9" name="report_generator4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0" name="report_generator4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1" name="report_generator45" type="6" refreshedVersion="0" background="1">
    <textPr prompt="0" sourceFile="F:\report_generator.csv" decimal="," thousands=".">
      <textFields>
        <textField/>
      </textFields>
    </textPr>
  </connection>
  <connection id="42" name="report_generator4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3" name="report_generator4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4" name="report_generator4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5" name="report_generator4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6" name="report_generator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7" name="report_generator5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8" name="report_generator5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9" name="report_generator5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0" name="report_generator5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1" name="report_generator5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2" name="report_generator5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3" name="report_generator5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4" name="report_generator5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5" name="report_generator5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6" name="report_generator5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7" name="report_generator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8" name="report_generator6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9" name="report_generator6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0" name="report_generator6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1" name="report_generator6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2" name="report_generator6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3" name="report_generator6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4" name="report_generator6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5" name="report_generator6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6" name="report_generator6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7" name="report_generator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8" name="report_generator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9" name="report_generator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<sst xmlns="http://schemas.openxmlformats.org/spreadsheetml/2006/main" count="295" uniqueCount="129">
  <si>
    <t>Traffic activity</t>
  </si>
  <si>
    <t>Realized View</t>
  </si>
  <si>
    <t>New Drivers</t>
  </si>
  <si>
    <t>New Passangers</t>
  </si>
  <si>
    <t>Available Seat Kilometer (ASK)</t>
  </si>
  <si>
    <t>Trips realized</t>
  </si>
  <si>
    <t>PAX transported</t>
  </si>
  <si>
    <t>Average PAX per trip realized</t>
  </si>
  <si>
    <t>Realized TRIP Yield</t>
  </si>
  <si>
    <t>Driver Cancelation rate</t>
  </si>
  <si>
    <t>PAX Cancelation rate</t>
  </si>
  <si>
    <t>Colombia</t>
  </si>
  <si>
    <t>Mexico</t>
  </si>
  <si>
    <t>Malaysia + Singapore</t>
  </si>
  <si>
    <t>Chile</t>
  </si>
  <si>
    <t>Argentina + Uruguay</t>
  </si>
  <si>
    <t>Philippines</t>
  </si>
  <si>
    <t>Taiwan</t>
  </si>
  <si>
    <t>United States</t>
  </si>
  <si>
    <t>India</t>
  </si>
  <si>
    <t>Pakistan</t>
  </si>
  <si>
    <t>Traffic activity view</t>
  </si>
  <si>
    <t>Date of when users book or offer a ride on the site</t>
  </si>
  <si>
    <t>Realized view</t>
  </si>
  <si>
    <t>Date of when trips actually occurs</t>
  </si>
  <si>
    <t>New Users</t>
  </si>
  <si>
    <t>New users on the given period</t>
  </si>
  <si>
    <t>New drivers on the given period</t>
  </si>
  <si>
    <t>New passangers  on the given period</t>
  </si>
  <si>
    <t>Trips Offered</t>
  </si>
  <si>
    <t>Number of new trips offered in the given date. Number of trips don't include stopovers. Eg: a trip from San Francisco to Los Angeles, stoping at Monterey and Santa Maria would count as 1 trip offered.</t>
  </si>
  <si>
    <t>Bookings</t>
  </si>
  <si>
    <t xml:space="preserve">Number of bookings in the given period. Eg: a booking of 3 seats booked on 12/09/2014 to travel on 14/09/2014 would be counted as 1 booking on 12/09/2014 </t>
  </si>
  <si>
    <t>Number of seats offered in the given period times the number of kilometers of each trip.</t>
  </si>
  <si>
    <t>Number of trips with at least one Tripda passenger in the given period, regardless the number of bookings in the car. Eg: a trip from Bogota to Manizales with 3 PAX and 3 different bookings would caount as 1 trip.</t>
  </si>
  <si>
    <t>Average PAX per trip realized  (PAX transported / Trips realized)</t>
  </si>
  <si>
    <t>Percentage of outstanding trips offered that converted into a realized trip, having at least one PAX transported. Don't confuse with "Trips offered". Here we consider the date when the trip takes place. Eg: if in one day Malaysia had 100 trips outstanding and 12 trips realized, the "Realized trip yield" would be 12%.</t>
  </si>
  <si>
    <t>Average Ticket</t>
  </si>
  <si>
    <t>Averege ticket paid by  passengers in the given period</t>
  </si>
  <si>
    <t>Average realized trip distance</t>
  </si>
  <si>
    <t>Average distance traveled in the given period. The average is weighted by the number of passenger on each trip.</t>
  </si>
  <si>
    <t>Percentage of PAX affected by driver cancellations for trips that would happen in that given period.  If a Driver cancels a trip, in which no PAX has yet booked a seat, this wont't count for this statistics. Eg: If there are 100 PAX travelig on Tripda in a given day and one driver cancels a ride with 4 seats booked, the cacelation rate would be 4%</t>
  </si>
  <si>
    <t>Percentage of trips canceled by passengers that would actually become a real trip in the given period</t>
  </si>
  <si>
    <t>Country Rank</t>
  </si>
  <si>
    <t>Rank</t>
  </si>
  <si>
    <t>Country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</si>
  <si>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</si>
  <si>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</si>
  <si>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</si>
  <si>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</si>
  <si>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</si>
  <si>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</si>
  <si>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</si>
  <si>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</si>
  <si>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</si>
  <si>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</si>
  <si>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</si>
  <si>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Brasil</t>
  </si>
  <si>
    <t>Index</t>
  </si>
  <si>
    <t>Unique trips realized</t>
  </si>
  <si>
    <t>Unique pax driver</t>
  </si>
  <si>
    <t xml:space="preserve"> Total</t>
  </si>
  <si>
    <t>Trips configurations (all pax plus drivers) that have ever occurred in the past</t>
  </si>
  <si>
    <t>Number of passengers transported in the given period</t>
  </si>
  <si>
    <t>Number of passengers transported that have never ever travel with the same driver in the past</t>
  </si>
  <si>
    <t>Cohort</t>
  </si>
  <si>
    <t>RR1 accumulated after 2 months</t>
  </si>
  <si>
    <t>((i) average between trips realized and unique trips + (ii) average between Pax transported and unique Pax combination)*distance travelled by all pax</t>
  </si>
  <si>
    <t>New user</t>
  </si>
  <si>
    <t>New Passengers</t>
  </si>
  <si>
    <t>New trips offered</t>
  </si>
  <si>
    <t>New Bookings</t>
  </si>
  <si>
    <t>AVG Realized Trip DIstance</t>
  </si>
  <si>
    <t>12th</t>
  </si>
  <si>
    <t>13th</t>
  </si>
  <si>
    <t>14th</t>
  </si>
  <si>
    <t>15th</t>
  </si>
  <si>
    <t>16th</t>
  </si>
  <si>
    <t>17th</t>
  </si>
  <si>
    <t>18th</t>
  </si>
  <si>
    <t>19th</t>
  </si>
  <si>
    <t>20th</t>
  </si>
  <si>
    <t>24th</t>
  </si>
  <si>
    <t>25th</t>
  </si>
  <si>
    <t>26th</t>
  </si>
  <si>
    <t>27th</t>
  </si>
  <si>
    <t>28th</t>
  </si>
  <si>
    <t>29th</t>
  </si>
  <si>
    <t>30th</t>
  </si>
  <si>
    <t>34th</t>
  </si>
  <si>
    <t>21st</t>
  </si>
  <si>
    <t>22nd</t>
  </si>
  <si>
    <t>23rd</t>
  </si>
  <si>
    <t>31st</t>
  </si>
  <si>
    <t>32nd</t>
  </si>
  <si>
    <t>33rd</t>
  </si>
  <si>
    <t>country</t>
  </si>
  <si>
    <t>report_year</t>
  </si>
  <si>
    <t>report_reference</t>
  </si>
  <si>
    <t>new_users</t>
  </si>
  <si>
    <t>new_drivers</t>
  </si>
  <si>
    <t>new_passangers</t>
  </si>
  <si>
    <t>new_trip_offered</t>
  </si>
  <si>
    <t>new_bookings</t>
  </si>
  <si>
    <t>ask</t>
  </si>
  <si>
    <t>trip_realized</t>
  </si>
  <si>
    <t>unique_trip_realized</t>
  </si>
  <si>
    <t>pax_transported</t>
  </si>
  <si>
    <t>unique_pax_driver</t>
  </si>
  <si>
    <t>avg_pax/trip</t>
  </si>
  <si>
    <t>Realize_Trip_Yield</t>
  </si>
  <si>
    <t>Avg_Realized_Km</t>
  </si>
  <si>
    <t>Driver_Cancel_Rate</t>
  </si>
  <si>
    <t>Pax_Cancel_Rate</t>
  </si>
  <si>
    <t>TOTAL</t>
  </si>
  <si>
    <t>TITLE</t>
  </si>
  <si>
    <t>ROWS PER COUNTRY</t>
  </si>
  <si>
    <t>NUMBER OF COUNTRIES</t>
  </si>
  <si>
    <t>NUMBER OF TRAFFIC ACTIVITY</t>
  </si>
  <si>
    <t>NUMBER OF REALIZED VIEW</t>
  </si>
  <si>
    <t>TRAFFIC ACTIVITY</t>
  </si>
  <si>
    <t>REALIZED VIEW</t>
  </si>
  <si>
    <t>Today</t>
  </si>
  <si>
    <t>Month</t>
  </si>
  <si>
    <t>Week number</t>
  </si>
  <si>
    <t>Week day</t>
  </si>
  <si>
    <t>Beggining of week</t>
  </si>
  <si>
    <t>End of week</t>
  </si>
  <si>
    <t>Tripda Report - 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</si>
</sst>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_-;\-* #,##0.00_-;_-* &quot;-&quot;??_-;_-@_-"/>
    <numFmt numFmtId="165" formatCode="d/m;@"/>
    <numFmt numFmtId="166" formatCode="#,##0.000"/>
    <numFmt numFmtId="167" formatCode="0.000"/>
    <numFmt numFmtId="168" formatCode="_-[$€-2]\ * #,##0.00_-;\-[$€-2]\ * #,##0.00_-;_-[$€-2]\ * &quot;-&quot;??_-;_-@_-"/>
    <numFmt numFmtId="169" formatCode="mmmm"/>
    <numFmt numFmtId="170" formatCode="dddd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b/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rgb="FFFF00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18BD9D"/>
        <bgColor indexed="64"/>
      </patternFill>
    </fill>
    <fill>
      <patternFill patternType="solid">
        <fgColor rgb="FF36E6C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</borders>
  <cellStyleXfs count="45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35" applyNumberFormat="0" applyFill="0" applyAlignment="0" applyProtection="0"/>
    <xf numFmtId="0" fontId="17" fillId="0" borderId="36" applyNumberFormat="0" applyFill="0" applyAlignment="0" applyProtection="0"/>
    <xf numFmtId="0" fontId="18" fillId="0" borderId="37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38" applyNumberFormat="0" applyAlignment="0" applyProtection="0"/>
    <xf numFmtId="0" fontId="23" fillId="11" borderId="39" applyNumberFormat="0" applyAlignment="0" applyProtection="0"/>
    <xf numFmtId="0" fontId="24" fillId="11" borderId="38" applyNumberFormat="0" applyAlignment="0" applyProtection="0"/>
    <xf numFmtId="0" fontId="25" fillId="0" borderId="40" applyNumberFormat="0" applyFill="0" applyAlignment="0" applyProtection="0"/>
    <xf numFmtId="0" fontId="26" fillId="12" borderId="41" applyNumberFormat="0" applyAlignment="0" applyProtection="0"/>
    <xf numFmtId="0" fontId="27" fillId="0" borderId="0" applyNumberFormat="0" applyFill="0" applyBorder="0" applyAlignment="0" applyProtection="0"/>
    <xf numFmtId="0" fontId="1" fillId="13" borderId="42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43" applyNumberFormat="0" applyFill="0" applyAlignment="0" applyProtection="0"/>
    <xf numFmtId="0" fontId="2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" fillId="37" borderId="0" applyNumberFormat="0" applyBorder="0" applyAlignment="0" applyProtection="0"/>
  </cellStyleXfs>
  <cellXfs count="190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Border="1" applyAlignment="1">
      <alignment horizontal="center" vertical="center"/>
    </xf>
    <xf numFmtId="0" fontId="13" fillId="4" borderId="13" xfId="0" applyFont="1" applyFill="1" applyBorder="1" applyAlignment="1">
      <alignment horizontal="center"/>
    </xf>
    <xf numFmtId="0" fontId="13" fillId="6" borderId="13" xfId="0" applyFont="1" applyFill="1" applyBorder="1" applyAlignment="1">
      <alignment horizontal="center"/>
    </xf>
    <xf numFmtId="0" fontId="0" fillId="0" borderId="0" xfId="0" applyNumberFormat="1"/>
    <xf numFmtId="0" fontId="13" fillId="0" borderId="13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17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14" fontId="4" fillId="0" borderId="0" xfId="0" applyNumberFormat="1" applyFont="1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14" fontId="6" fillId="3" borderId="4" xfId="0" applyNumberFormat="1" applyFont="1" applyFill="1" applyBorder="1" applyAlignment="1">
      <alignment horizontal="center" vertical="center"/>
    </xf>
    <xf numFmtId="0" fontId="8" fillId="4" borderId="44" xfId="1" applyFont="1" applyFill="1" applyBorder="1" applyAlignment="1">
      <alignment vertical="center"/>
    </xf>
    <xf numFmtId="3" fontId="9" fillId="0" borderId="49" xfId="3" applyNumberFormat="1" applyFont="1" applyBorder="1" applyAlignment="1">
      <alignment horizontal="center" vertical="center"/>
    </xf>
    <xf numFmtId="0" fontId="8" fillId="4" borderId="0" xfId="1" applyFont="1" applyFill="1" applyBorder="1" applyAlignment="1">
      <alignment vertical="center"/>
    </xf>
    <xf numFmtId="0" fontId="8" fillId="4" borderId="6" xfId="1" applyFont="1" applyFill="1" applyBorder="1" applyAlignment="1">
      <alignment vertical="center"/>
    </xf>
    <xf numFmtId="165" fontId="9" fillId="0" borderId="17" xfId="1" applyNumberFormat="1" applyFont="1" applyBorder="1" applyAlignment="1">
      <alignment horizontal="center" vertical="center"/>
    </xf>
    <xf numFmtId="3" fontId="9" fillId="0" borderId="29" xfId="2" applyNumberFormat="1" applyFont="1" applyBorder="1" applyAlignment="1">
      <alignment horizontal="center" vertical="center"/>
    </xf>
    <xf numFmtId="0" fontId="8" fillId="4" borderId="28" xfId="1" applyFont="1" applyFill="1" applyBorder="1" applyAlignment="1">
      <alignment vertical="center"/>
    </xf>
    <xf numFmtId="0" fontId="8" fillId="2" borderId="61" xfId="0" applyFont="1" applyFill="1" applyBorder="1" applyAlignment="1">
      <alignment vertical="center"/>
    </xf>
    <xf numFmtId="165" fontId="9" fillId="0" borderId="17" xfId="0" applyNumberFormat="1" applyFont="1" applyBorder="1" applyAlignment="1">
      <alignment horizontal="center" vertical="center"/>
    </xf>
    <xf numFmtId="0" fontId="7" fillId="3" borderId="59" xfId="0" applyFont="1" applyFill="1" applyBorder="1" applyAlignment="1">
      <alignment horizontal="center" vertical="center" wrapText="1"/>
    </xf>
    <xf numFmtId="0" fontId="8" fillId="4" borderId="23" xfId="1" applyFont="1" applyFill="1" applyBorder="1" applyAlignment="1">
      <alignment vertical="center"/>
    </xf>
    <xf numFmtId="3" fontId="9" fillId="0" borderId="31" xfId="2" applyNumberFormat="1" applyFont="1" applyBorder="1" applyAlignment="1">
      <alignment horizontal="center" vertical="center"/>
    </xf>
    <xf numFmtId="3" fontId="9" fillId="0" borderId="51" xfId="3" applyNumberFormat="1" applyFont="1" applyBorder="1" applyAlignment="1">
      <alignment horizontal="center" vertical="center"/>
    </xf>
    <xf numFmtId="3" fontId="9" fillId="0" borderId="31" xfId="3" applyNumberFormat="1" applyFont="1" applyBorder="1" applyAlignment="1">
      <alignment horizontal="center" vertical="center"/>
    </xf>
    <xf numFmtId="3" fontId="9" fillId="0" borderId="52" xfId="2" applyNumberFormat="1" applyFont="1" applyBorder="1" applyAlignment="1">
      <alignment horizontal="center" vertical="center"/>
    </xf>
    <xf numFmtId="0" fontId="8" fillId="4" borderId="62" xfId="1" applyFont="1" applyFill="1" applyBorder="1" applyAlignment="1">
      <alignment vertical="center"/>
    </xf>
    <xf numFmtId="3" fontId="9" fillId="0" borderId="30" xfId="2" applyNumberFormat="1" applyFont="1" applyBorder="1" applyAlignment="1">
      <alignment horizontal="center" vertical="center"/>
    </xf>
    <xf numFmtId="0" fontId="9" fillId="0" borderId="31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4" fontId="4" fillId="0" borderId="0" xfId="0" applyNumberFormat="1" applyFont="1" applyBorder="1" applyAlignment="1"/>
    <xf numFmtId="14" fontId="6" fillId="3" borderId="4" xfId="0" applyNumberFormat="1" applyFont="1" applyFill="1" applyBorder="1" applyAlignment="1">
      <alignment horizontal="center" vertical="center"/>
    </xf>
    <xf numFmtId="0" fontId="7" fillId="3" borderId="58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8" fillId="2" borderId="46" xfId="0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47" xfId="0" applyFont="1" applyFill="1" applyBorder="1" applyAlignment="1">
      <alignment vertical="center"/>
    </xf>
    <xf numFmtId="0" fontId="0" fillId="0" borderId="0" xfId="0" applyBorder="1" applyAlignment="1"/>
    <xf numFmtId="0" fontId="8" fillId="4" borderId="50" xfId="1" applyFont="1" applyFill="1" applyBorder="1" applyAlignment="1">
      <alignment vertical="center"/>
    </xf>
    <xf numFmtId="0" fontId="9" fillId="0" borderId="51" xfId="0" applyNumberFormat="1" applyFont="1" applyBorder="1" applyAlignment="1">
      <alignment horizontal="center" vertical="center"/>
    </xf>
    <xf numFmtId="3" fontId="9" fillId="0" borderId="51" xfId="2" applyNumberFormat="1" applyFont="1" applyBorder="1" applyAlignment="1">
      <alignment horizontal="center" vertical="center"/>
    </xf>
    <xf numFmtId="0" fontId="8" fillId="4" borderId="34" xfId="1" applyFont="1" applyFill="1" applyBorder="1" applyAlignment="1">
      <alignment vertical="center"/>
    </xf>
    <xf numFmtId="3" fontId="9" fillId="0" borderId="49" xfId="2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0" fontId="13" fillId="4" borderId="25" xfId="0" applyFont="1" applyFill="1" applyBorder="1" applyAlignment="1">
      <alignment horizontal="center"/>
    </xf>
    <xf numFmtId="0" fontId="13" fillId="6" borderId="25" xfId="0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/>
    </xf>
    <xf numFmtId="0" fontId="14" fillId="0" borderId="25" xfId="0" applyFont="1" applyFill="1" applyBorder="1" applyAlignment="1">
      <alignment horizontal="center"/>
    </xf>
    <xf numFmtId="0" fontId="14" fillId="0" borderId="30" xfId="0" applyFont="1" applyFill="1" applyBorder="1" applyAlignment="1">
      <alignment horizontal="center"/>
    </xf>
    <xf numFmtId="0" fontId="13" fillId="4" borderId="64" xfId="0" applyFont="1" applyFill="1" applyBorder="1" applyAlignment="1">
      <alignment horizontal="center"/>
    </xf>
    <xf numFmtId="0" fontId="13" fillId="6" borderId="64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4" fillId="0" borderId="64" xfId="0" applyFont="1" applyFill="1" applyBorder="1" applyAlignment="1">
      <alignment horizontal="center"/>
    </xf>
    <xf numFmtId="0" fontId="14" fillId="0" borderId="65" xfId="0" applyFont="1" applyFill="1" applyBorder="1" applyAlignment="1">
      <alignment horizontal="center"/>
    </xf>
    <xf numFmtId="0" fontId="13" fillId="0" borderId="63" xfId="0" applyFont="1" applyBorder="1" applyAlignment="1">
      <alignment horizontal="center"/>
    </xf>
    <xf numFmtId="0" fontId="13" fillId="5" borderId="64" xfId="0" applyFont="1" applyFill="1" applyBorder="1" applyAlignment="1">
      <alignment horizontal="center"/>
    </xf>
    <xf numFmtId="0" fontId="13" fillId="0" borderId="6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5" borderId="25" xfId="0" applyNumberFormat="1" applyFont="1" applyFill="1" applyBorder="1" applyAlignment="1">
      <alignment horizontal="center"/>
    </xf>
    <xf numFmtId="166" fontId="9" fillId="0" borderId="8" xfId="2" applyNumberFormat="1" applyFont="1" applyBorder="1" applyAlignment="1">
      <alignment horizontal="center" vertical="center"/>
    </xf>
    <xf numFmtId="166" fontId="9" fillId="0" borderId="13" xfId="2" applyNumberFormat="1" applyFont="1" applyBorder="1" applyAlignment="1">
      <alignment horizontal="center" vertical="center"/>
    </xf>
    <xf numFmtId="167" fontId="13" fillId="5" borderId="13" xfId="0" applyNumberFormat="1" applyFont="1" applyFill="1" applyBorder="1" applyAlignment="1">
      <alignment horizontal="center"/>
    </xf>
    <xf numFmtId="0" fontId="0" fillId="0" borderId="76" xfId="0" applyBorder="1"/>
    <xf numFmtId="0" fontId="29" fillId="4" borderId="74" xfId="0" applyFont="1" applyFill="1" applyBorder="1"/>
    <xf numFmtId="0" fontId="0" fillId="0" borderId="68" xfId="0" applyBorder="1"/>
    <xf numFmtId="0" fontId="0" fillId="0" borderId="70" xfId="0" applyBorder="1"/>
    <xf numFmtId="0" fontId="29" fillId="4" borderId="75" xfId="0" applyFont="1" applyFill="1" applyBorder="1"/>
    <xf numFmtId="0" fontId="0" fillId="0" borderId="77" xfId="0" applyBorder="1"/>
    <xf numFmtId="0" fontId="0" fillId="0" borderId="25" xfId="0" applyBorder="1"/>
    <xf numFmtId="0" fontId="0" fillId="0" borderId="30" xfId="0" applyBorder="1"/>
    <xf numFmtId="0" fontId="29" fillId="4" borderId="4" xfId="0" applyFont="1" applyFill="1" applyBorder="1"/>
    <xf numFmtId="0" fontId="0" fillId="0" borderId="28" xfId="0" applyBorder="1"/>
    <xf numFmtId="0" fontId="0" fillId="0" borderId="13" xfId="0" applyBorder="1"/>
    <xf numFmtId="0" fontId="0" fillId="0" borderId="17" xfId="0" applyBorder="1"/>
    <xf numFmtId="168" fontId="0" fillId="0" borderId="0" xfId="0" applyNumberFormat="1"/>
    <xf numFmtId="0" fontId="7" fillId="3" borderId="83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9" xfId="0" applyBorder="1"/>
    <xf numFmtId="14" fontId="0" fillId="0" borderId="11" xfId="0" applyNumberFormat="1" applyBorder="1"/>
    <xf numFmtId="0" fontId="0" fillId="0" borderId="78" xfId="0" applyBorder="1"/>
    <xf numFmtId="0" fontId="0" fillId="0" borderId="79" xfId="0" applyBorder="1"/>
    <xf numFmtId="169" fontId="0" fillId="0" borderId="79" xfId="0" applyNumberFormat="1" applyBorder="1"/>
    <xf numFmtId="0" fontId="0" fillId="0" borderId="78" xfId="0" applyFill="1" applyBorder="1"/>
    <xf numFmtId="170" fontId="0" fillId="0" borderId="79" xfId="0" applyNumberFormat="1" applyBorder="1"/>
    <xf numFmtId="14" fontId="0" fillId="0" borderId="79" xfId="0" applyNumberFormat="1" applyBorder="1"/>
    <xf numFmtId="0" fontId="0" fillId="0" borderId="80" xfId="0" applyFill="1" applyBorder="1"/>
    <xf numFmtId="14" fontId="0" fillId="0" borderId="81" xfId="0" applyNumberFormat="1" applyBorder="1"/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29" fillId="4" borderId="67" xfId="0" applyFont="1" applyFill="1" applyBorder="1"/>
    <xf numFmtId="0" fontId="29" fillId="4" borderId="50" xfId="0" applyFont="1" applyFill="1" applyBorder="1"/>
    <xf numFmtId="0" fontId="29" fillId="4" borderId="72" xfId="0" applyFont="1" applyFill="1" applyBorder="1"/>
    <xf numFmtId="0" fontId="29" fillId="4" borderId="20" xfId="0" applyFont="1" applyFill="1" applyBorder="1"/>
    <xf numFmtId="0" fontId="29" fillId="4" borderId="73" xfId="0" applyFont="1" applyFill="1" applyBorder="1"/>
    <xf numFmtId="0" fontId="29" fillId="4" borderId="31" xfId="0" applyFont="1" applyFill="1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53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59" xfId="0" applyFont="1" applyFill="1" applyBorder="1" applyAlignment="1">
      <alignment horizontal="center"/>
    </xf>
    <xf numFmtId="0" fontId="2" fillId="2" borderId="56" xfId="0" applyFont="1" applyFill="1" applyBorder="1"/>
    <xf numFmtId="0" fontId="2" fillId="2" borderId="12" xfId="0" applyFont="1" applyFill="1" applyBorder="1"/>
    <xf numFmtId="0" fontId="0" fillId="0" borderId="22" xfId="0" applyBorder="1" applyAlignment="1"/>
    <xf numFmtId="0" fontId="0" fillId="0" borderId="50" xfId="0" applyBorder="1" applyAlignment="1"/>
    <xf numFmtId="0" fontId="0" fillId="0" borderId="54" xfId="0" applyBorder="1" applyAlignment="1"/>
    <xf numFmtId="0" fontId="2" fillId="2" borderId="57" xfId="0" applyFont="1" applyFill="1" applyBorder="1"/>
    <xf numFmtId="0" fontId="2" fillId="2" borderId="18" xfId="0" applyFont="1" applyFill="1" applyBorder="1"/>
    <xf numFmtId="0" fontId="0" fillId="0" borderId="29" xfId="0" applyBorder="1" applyAlignment="1"/>
    <xf numFmtId="0" fontId="0" fillId="0" borderId="31" xfId="0" applyBorder="1" applyAlignment="1"/>
    <xf numFmtId="0" fontId="0" fillId="0" borderId="30" xfId="0" applyBorder="1" applyAlignment="1"/>
    <xf numFmtId="0" fontId="11" fillId="3" borderId="29" xfId="0" applyFont="1" applyFill="1" applyBorder="1" applyAlignment="1">
      <alignment horizontal="left" vertical="center" wrapText="1"/>
    </xf>
    <xf numFmtId="0" fontId="11" fillId="3" borderId="30" xfId="0" applyFont="1" applyFill="1" applyBorder="1" applyAlignment="1">
      <alignment horizontal="left" vertical="center" wrapText="1"/>
    </xf>
    <xf numFmtId="0" fontId="12" fillId="0" borderId="33" xfId="0" applyFont="1" applyFill="1" applyBorder="1" applyAlignment="1">
      <alignment vertical="center" wrapText="1"/>
    </xf>
    <xf numFmtId="0" fontId="12" fillId="0" borderId="32" xfId="0" applyFont="1" applyFill="1" applyBorder="1" applyAlignment="1">
      <alignment vertical="center" wrapText="1"/>
    </xf>
    <xf numFmtId="0" fontId="12" fillId="0" borderId="29" xfId="0" applyFont="1" applyFill="1" applyBorder="1" applyAlignment="1">
      <alignment vertical="center" wrapText="1"/>
    </xf>
    <xf numFmtId="0" fontId="12" fillId="0" borderId="31" xfId="0" applyFont="1" applyFill="1" applyBorder="1" applyAlignment="1">
      <alignment vertical="center" wrapText="1"/>
    </xf>
    <xf numFmtId="0" fontId="12" fillId="0" borderId="30" xfId="0" applyFont="1" applyFill="1" applyBorder="1" applyAlignment="1">
      <alignment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left" vertical="center" wrapText="1"/>
    </xf>
    <xf numFmtId="0" fontId="11" fillId="3" borderId="54" xfId="0" applyFont="1" applyFill="1" applyBorder="1" applyAlignment="1">
      <alignment horizontal="left" vertical="center" wrapText="1"/>
    </xf>
    <xf numFmtId="0" fontId="12" fillId="0" borderId="9" xfId="0" applyFont="1" applyFill="1" applyBorder="1" applyAlignment="1">
      <alignment vertical="center" wrapText="1"/>
    </xf>
    <xf numFmtId="0" fontId="12" fillId="0" borderId="10" xfId="0" applyFont="1" applyFill="1" applyBorder="1" applyAlignment="1">
      <alignment vertical="center" wrapText="1"/>
    </xf>
    <xf numFmtId="0" fontId="12" fillId="0" borderId="22" xfId="0" applyFont="1" applyFill="1" applyBorder="1" applyAlignment="1">
      <alignment vertical="center" wrapText="1"/>
    </xf>
    <xf numFmtId="0" fontId="12" fillId="0" borderId="50" xfId="0" applyFont="1" applyFill="1" applyBorder="1" applyAlignment="1">
      <alignment vertical="center" wrapText="1"/>
    </xf>
    <xf numFmtId="0" fontId="12" fillId="0" borderId="54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left" vertical="center" wrapText="1"/>
    </xf>
    <xf numFmtId="0" fontId="11" fillId="3" borderId="25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vertical="center" wrapText="1"/>
    </xf>
    <xf numFmtId="0" fontId="12" fillId="0" borderId="15" xfId="0" applyFont="1" applyFill="1" applyBorder="1" applyAlignment="1">
      <alignment vertical="center" wrapText="1"/>
    </xf>
    <xf numFmtId="0" fontId="12" fillId="0" borderId="19" xfId="0" applyFont="1" applyFill="1" applyBorder="1" applyAlignment="1">
      <alignment vertical="center" wrapText="1"/>
    </xf>
    <xf numFmtId="0" fontId="12" fillId="0" borderId="20" xfId="0" applyFont="1" applyFill="1" applyBorder="1" applyAlignment="1">
      <alignment vertical="center" wrapText="1"/>
    </xf>
    <xf numFmtId="0" fontId="12" fillId="0" borderId="25" xfId="0" applyFont="1" applyFill="1" applyBorder="1" applyAlignment="1">
      <alignment vertical="center" wrapText="1"/>
    </xf>
    <xf numFmtId="0" fontId="12" fillId="0" borderId="12" xfId="0" applyFont="1" applyFill="1" applyBorder="1" applyAlignment="1">
      <alignment vertical="center" wrapText="1"/>
    </xf>
    <xf numFmtId="0" fontId="12" fillId="0" borderId="11" xfId="0" applyFont="1" applyFill="1" applyBorder="1" applyAlignment="1">
      <alignment vertical="center" wrapText="1"/>
    </xf>
    <xf numFmtId="0" fontId="12" fillId="0" borderId="16" xfId="0" applyFont="1" applyFill="1" applyBorder="1" applyAlignment="1">
      <alignment vertical="center" wrapText="1"/>
    </xf>
    <xf numFmtId="0" fontId="12" fillId="0" borderId="45" xfId="0" applyFont="1" applyFill="1" applyBorder="1" applyAlignment="1">
      <alignment vertical="center" wrapText="1"/>
    </xf>
    <xf numFmtId="0" fontId="12" fillId="0" borderId="48" xfId="0" applyFont="1" applyFill="1" applyBorder="1" applyAlignment="1">
      <alignment vertical="center" wrapText="1"/>
    </xf>
    <xf numFmtId="0" fontId="12" fillId="0" borderId="55" xfId="0" applyFont="1" applyFill="1" applyBorder="1" applyAlignment="1">
      <alignment horizontal="left" vertical="center" wrapText="1"/>
    </xf>
    <xf numFmtId="0" fontId="12" fillId="0" borderId="20" xfId="0" applyFont="1" applyFill="1" applyBorder="1" applyAlignment="1">
      <alignment horizontal="left" vertical="center" wrapText="1"/>
    </xf>
    <xf numFmtId="0" fontId="12" fillId="0" borderId="25" xfId="0" applyFont="1" applyFill="1" applyBorder="1" applyAlignment="1">
      <alignment horizontal="left" vertical="center" wrapText="1"/>
    </xf>
    <xf numFmtId="0" fontId="11" fillId="3" borderId="45" xfId="0" applyFont="1" applyFill="1" applyBorder="1" applyAlignment="1">
      <alignment horizontal="left" vertical="center" wrapText="1"/>
    </xf>
    <xf numFmtId="0" fontId="11" fillId="3" borderId="48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1" xfId="0" applyFont="1" applyFill="1" applyBorder="1" applyAlignment="1">
      <alignment horizontal="left" vertical="center" wrapText="1"/>
    </xf>
    <xf numFmtId="0" fontId="10" fillId="2" borderId="46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60" xfId="0" applyFont="1" applyFill="1" applyBorder="1" applyAlignment="1">
      <alignment horizontal="center" vertical="center" wrapText="1"/>
    </xf>
    <xf numFmtId="0" fontId="12" fillId="0" borderId="55" xfId="0" applyFont="1" applyFill="1" applyBorder="1" applyAlignment="1">
      <alignment vertical="center" wrapText="1"/>
    </xf>
    <xf numFmtId="0" fontId="12" fillId="0" borderId="57" xfId="0" applyFont="1" applyFill="1" applyBorder="1" applyAlignment="1">
      <alignment vertical="center" wrapText="1"/>
    </xf>
    <xf numFmtId="0" fontId="12" fillId="0" borderId="16" xfId="0" applyFont="1" applyFill="1" applyBorder="1" applyAlignment="1">
      <alignment horizontal="left" vertical="center" wrapText="1"/>
    </xf>
    <xf numFmtId="0" fontId="12" fillId="0" borderId="45" xfId="0" applyFont="1" applyFill="1" applyBorder="1" applyAlignment="1">
      <alignment horizontal="left" vertical="center" wrapText="1"/>
    </xf>
    <xf numFmtId="0" fontId="12" fillId="0" borderId="48" xfId="0" applyFont="1" applyFill="1" applyBorder="1" applyAlignment="1">
      <alignment horizontal="left" vertical="center" wrapText="1"/>
    </xf>
    <xf numFmtId="0" fontId="8" fillId="2" borderId="85" xfId="0" applyFont="1" applyFill="1" applyBorder="1" applyAlignment="1">
      <alignment vertical="center"/>
    </xf>
    <xf numFmtId="0" fontId="9" fillId="0" borderId="49" xfId="0" applyNumberFormat="1" applyFont="1" applyBorder="1" applyAlignment="1">
      <alignment horizontal="center" vertical="center"/>
    </xf>
    <xf numFmtId="3" fontId="9" fillId="0" borderId="87" xfId="2" applyNumberFormat="1" applyFont="1" applyBorder="1" applyAlignment="1">
      <alignment horizontal="center" vertical="center"/>
    </xf>
    <xf numFmtId="0" fontId="8" fillId="4" borderId="85" xfId="1" applyFont="1" applyFill="1" applyBorder="1" applyAlignment="1">
      <alignment vertical="center"/>
    </xf>
    <xf numFmtId="14" fontId="6" fillId="3" borderId="82" xfId="0" applyNumberFormat="1" applyFont="1" applyFill="1" applyBorder="1" applyAlignment="1">
      <alignment horizontal="center" vertical="center"/>
    </xf>
    <xf numFmtId="0" fontId="8" fillId="2" borderId="89" xfId="0" applyFont="1" applyFill="1" applyBorder="1" applyAlignment="1">
      <alignment vertical="center"/>
    </xf>
    <xf numFmtId="165" fontId="9" fillId="0" borderId="90" xfId="0" applyNumberFormat="1" applyFont="1" applyBorder="1" applyAlignment="1">
      <alignment horizontal="center" vertical="center"/>
    </xf>
    <xf numFmtId="0" fontId="8" fillId="4" borderId="84" xfId="1" applyFont="1" applyFill="1" applyBorder="1" applyAlignment="1">
      <alignment vertical="center"/>
    </xf>
    <xf numFmtId="165" fontId="9" fillId="0" borderId="90" xfId="1" applyNumberFormat="1" applyFont="1" applyBorder="1" applyAlignment="1">
      <alignment horizontal="center" vertical="center"/>
    </xf>
    <xf numFmtId="0" fontId="5" fillId="2" borderId="88" xfId="0" applyFont="1" applyFill="1" applyBorder="1" applyAlignment="1">
      <alignment horizontal="center"/>
    </xf>
    <xf numFmtId="0" fontId="7" fillId="3" borderId="91" xfId="0" applyFont="1" applyFill="1" applyBorder="1" applyAlignment="1">
      <alignment horizontal="center" vertical="center" wrapText="1"/>
    </xf>
    <xf numFmtId="0" fontId="9" fillId="0" borderId="86" xfId="0" applyNumberFormat="1" applyFont="1" applyBorder="1" applyAlignment="1">
      <alignment horizontal="center" vertical="center"/>
    </xf>
    <xf numFmtId="3" fontId="9" fillId="0" borderId="86" xfId="2" applyNumberFormat="1" applyFont="1" applyBorder="1" applyAlignment="1">
      <alignment horizontal="center" vertical="center"/>
    </xf>
    <xf numFmtId="0" fontId="5" fillId="2" borderId="92" xfId="0" applyFont="1" applyFill="1" applyBorder="1" applyAlignment="1">
      <alignment horizontal="center"/>
    </xf>
    <xf numFmtId="0" fontId="7" fillId="3" borderId="93" xfId="0" applyFont="1" applyFill="1" applyBorder="1" applyAlignment="1">
      <alignment horizontal="center" vertical="center" wrapText="1"/>
    </xf>
    <xf numFmtId="0" fontId="8" fillId="4" borderId="94" xfId="1" applyFont="1" applyFill="1" applyBorder="1" applyAlignment="1">
      <alignment vertical="center"/>
    </xf>
    <xf numFmtId="3" fontId="9" fillId="0" borderId="86" xfId="3" applyNumberFormat="1" applyFont="1" applyBorder="1" applyAlignment="1">
      <alignment horizontal="center" vertical="center"/>
    </xf>
    <xf numFmtId="0" fontId="8" fillId="4" borderId="89" xfId="1" applyFont="1" applyFill="1" applyBorder="1" applyAlignment="1">
      <alignment vertical="center"/>
    </xf>
    <xf numFmtId="14" fontId="0" fillId="0" borderId="0" xfId="0" applyNumberFormat="1"/>
  </cellXfs>
  <cellStyles count="45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 2" xfId="3"/>
    <cellStyle name="Explanatory Text" xfId="19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1"/>
    <cellStyle name="Note" xfId="18" builtinId="10" customBuiltin="1"/>
    <cellStyle name="Output" xfId="13" builtinId="21" customBuiltin="1"/>
    <cellStyle name="Percent 2" xfId="2"/>
    <cellStyle name="Title" xfId="4" builtinId="15" customBuiltin="1"/>
    <cellStyle name="Total" xfId="20" builtinId="25" customBuiltin="1"/>
    <cellStyle name="Warning Text" xfId="17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</xdr:rowOff>
    </xdr:from>
    <xdr:to>
      <xdr:col>5</xdr:col>
      <xdr:colOff>361950</xdr:colOff>
      <xdr:row>7</xdr:row>
      <xdr:rowOff>133351</xdr:rowOff>
    </xdr:to>
    <xdr:sp macro="[0]!Main.Main" textlink="">
      <xdr:nvSpPr>
        <xdr:cNvPr id="2" name="Rectangle 1"/>
        <xdr:cNvSpPr/>
      </xdr:nvSpPr>
      <xdr:spPr>
        <a:xfrm>
          <a:off x="657225" y="19050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Import Data</a:t>
          </a:r>
        </a:p>
      </xdr:txBody>
    </xdr:sp>
    <xdr:clientData/>
  </xdr:twoCellAnchor>
  <xdr:twoCellAnchor>
    <xdr:from>
      <xdr:col>5</xdr:col>
      <xdr:colOff>542925</xdr:colOff>
      <xdr:row>1</xdr:row>
      <xdr:rowOff>1</xdr:rowOff>
    </xdr:from>
    <xdr:to>
      <xdr:col>10</xdr:col>
      <xdr:colOff>247650</xdr:colOff>
      <xdr:row>7</xdr:row>
      <xdr:rowOff>133351</xdr:rowOff>
    </xdr:to>
    <xdr:sp macro="[0]!_xludf.rank" textlink="">
      <xdr:nvSpPr>
        <xdr:cNvPr id="3" name="Rectangle 2"/>
        <xdr:cNvSpPr/>
      </xdr:nvSpPr>
      <xdr:spPr>
        <a:xfrm>
          <a:off x="3590925" y="19050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Rank</a:t>
          </a:r>
        </a:p>
      </xdr:txBody>
    </xdr:sp>
    <xdr:clientData/>
  </xdr:twoCellAnchor>
  <xdr:twoCellAnchor>
    <xdr:from>
      <xdr:col>1</xdr:col>
      <xdr:colOff>38100</xdr:colOff>
      <xdr:row>8</xdr:row>
      <xdr:rowOff>133351</xdr:rowOff>
    </xdr:from>
    <xdr:to>
      <xdr:col>5</xdr:col>
      <xdr:colOff>352425</xdr:colOff>
      <xdr:row>16</xdr:row>
      <xdr:rowOff>76201</xdr:rowOff>
    </xdr:to>
    <xdr:sp macro="" textlink="">
      <xdr:nvSpPr>
        <xdr:cNvPr id="4" name="Rectangle 3"/>
        <xdr:cNvSpPr/>
      </xdr:nvSpPr>
      <xdr:spPr>
        <a:xfrm>
          <a:off x="647700" y="184785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HELP</a:t>
          </a:r>
        </a:p>
      </xdr:txBody>
    </xdr:sp>
    <xdr:clientData/>
  </xdr:twoCellAnchor>
  <xdr:twoCellAnchor>
    <xdr:from>
      <xdr:col>10</xdr:col>
      <xdr:colOff>447675</xdr:colOff>
      <xdr:row>1</xdr:row>
      <xdr:rowOff>1</xdr:rowOff>
    </xdr:from>
    <xdr:to>
      <xdr:col>15</xdr:col>
      <xdr:colOff>152400</xdr:colOff>
      <xdr:row>7</xdr:row>
      <xdr:rowOff>133351</xdr:rowOff>
    </xdr:to>
    <xdr:sp macro="[0]!format" textlink="">
      <xdr:nvSpPr>
        <xdr:cNvPr id="5" name="Rectangle 4"/>
        <xdr:cNvSpPr/>
      </xdr:nvSpPr>
      <xdr:spPr>
        <a:xfrm>
          <a:off x="6543675" y="19050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Format</a:t>
          </a:r>
        </a:p>
      </xdr:txBody>
    </xdr:sp>
    <xdr:clientData/>
  </xdr:twoCellAnchor>
  <xdr:twoCellAnchor>
    <xdr:from>
      <xdr:col>15</xdr:col>
      <xdr:colOff>304800</xdr:colOff>
      <xdr:row>1</xdr:row>
      <xdr:rowOff>1</xdr:rowOff>
    </xdr:from>
    <xdr:to>
      <xdr:col>20</xdr:col>
      <xdr:colOff>9525</xdr:colOff>
      <xdr:row>7</xdr:row>
      <xdr:rowOff>133351</xdr:rowOff>
    </xdr:to>
    <xdr:sp macro="[0]!generate_pdf" textlink="">
      <xdr:nvSpPr>
        <xdr:cNvPr id="6" name="Rectangle 5"/>
        <xdr:cNvSpPr/>
      </xdr:nvSpPr>
      <xdr:spPr>
        <a:xfrm>
          <a:off x="9411119" y="198875"/>
          <a:ext cx="2740164" cy="1284723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Generate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1334</xdr:col>
      <xdr:colOff>408216</xdr:colOff>
      <xdr:row>6194</xdr:row>
      <xdr:rowOff>13606</xdr:rowOff>
    </xdr:from>
    <xdr:to>
      <xdr:col>1337</xdr:col>
      <xdr:colOff>152402</xdr:colOff>
      <xdr:row>6199</xdr:row>
      <xdr:rowOff>153760</xdr:rowOff>
    </xdr:to>
    <xdr:sp macro="[0]!Rotina_rank.rank" textlink="">
      <xdr:nvSpPr>
        <xdr:cNvPr id="2" name="Retângulo 1"/>
        <xdr:cNvSpPr/>
      </xdr:nvSpPr>
      <xdr:spPr>
        <a:xfrm>
          <a:off x="16464645" y="217713"/>
          <a:ext cx="1581150" cy="861333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report_generator_66" growShrinkType="overwriteClear" connectionId="6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generator_65" growShrinkType="overwriteClear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eport_generator_64" growShrinkType="overwriteClear" connectionId="6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report_generator_63" growShrinkType="overwriteClear" connectionId="6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report_generator_62" growShrinkType="overwriteClear" connectionId="6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report_generator_61" growShrinkType="overwriteClear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report_generator_60" growShrinkType="overwriteClear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report_generator_59" growShrinkType="overwriteClear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report_generator_58" growShrinkType="overwriteClear" connectionId="5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report_generator_5" growShrinkType="overwriteClear" connectionId="5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report_generator_8" growShrinkType="overwriteClear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report_generator_30" growShrinkType="overwriteClear" connectionId="2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report_generator_36" growShrinkType="overwriteClear" connectionId="3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report_generator_47" growShrinkType="overwriteClear" connectionId="4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report_generator_40" growShrinkType="overwriteClear" connectionId="3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report_generator_26" growShrinkType="overwriteClear" connectionId="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report_generator_39" growShrinkType="overwriteClear" connectionId="3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report_generator_15" growShrinkType="overwriteClear" connectionId="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report_generator_53" growShrinkType="overwriteClear" connectionId="5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report_generator_14" growShrinkType="overwriteClear" connectionId="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report_generator_17" growShrinkType="overwriteClear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report_generator_35" growShrinkType="overwriteClear" connectionId="3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report_generator_28" growShrinkType="overwriteClear" connectionId="2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report_generator_3" growShrinkType="overwriteClear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report_generator_48" growShrinkType="overwriteClear" connectionId="4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report_generator_9" growShrinkType="overwriteClear" connectionId="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report_generator_37" growShrinkType="overwriteClear" connectionId="3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report_generator_6" growShrinkType="overwriteClear" connectionId="6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report_generator_12" growShrinkType="overwriteClear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report_generator_50" growShrinkType="overwriteClear" connectionId="4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report_generator_57" growShrinkType="overwriteClear" connectionId="5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report_generator_16" growShrinkType="overwriteClear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report_generator_1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report_generator_22" growShrinkType="overwriteClear" connectionId="1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report_generator_54" growShrinkType="overwriteClear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report_generator_11" growShrinkType="overwriteClear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report_generator_41" growShrinkType="overwriteClear" connectionId="3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:\home\ricardo\Tripda\Modelo_DW\tripda-data-warehouse\report queries\reports\report_generator.csv" growShrinkType="overwriteClear" connectionId="2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report_generator_25" growShrinkType="overwriteClear" connectionId="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report_generator_51" growShrinkType="overwriteClear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report_generator_7" growShrinkType="overwriteClear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report_generator_45" growShrinkType="overwriteClear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report_generator_43" growShrinkType="overwriteClear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report_generator_33" growShrinkType="overwriteClear" connectionId="2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report_generator_2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report_generator_52" growShrinkType="overwriteClear" connectionId="5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report_generator_10" growShrinkType="overwriteClear" connectionId="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report_generator_13" growShrinkType="overwriteClear" connectionId="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report_generator_18" growShrinkType="overwriteClear" connectionId="1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report_generator_55" growShrinkType="overwriteClear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report_generator_4" growShrinkType="overwriteClear" connectionId="4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report_generator_24" growShrinkType="overwriteClear" connectionId="1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report_generator_34" growShrinkType="overwriteClear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report_generator_20" growShrinkType="overwriteClear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report_generator_44" growShrinkType="overwriteClear" connectionId="4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report_generator_29" growShrinkType="overwriteClear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report_generator_46" growShrinkType="overwriteClear" connectionId="4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report_generator_23" growShrinkType="overwriteClear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report_generator_27" growShrinkType="overwriteClear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report_generator_21" growShrinkType="overwriteClear" connectionId="1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report_generator_31" growShrinkType="overwriteClear" connectionId="2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report_generator_56" growShrinkType="overwriteClear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report_generator_49" growShrinkType="overwriteClear" connectionId="4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report_generator_32" growShrinkType="overwriteClear" connectionId="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report_generator_38" growShrinkType="overwriteClear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report_generator_19" growShrinkType="overwriteClear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report_generator_42" growShrinkType="overwriteClear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report_generator" growShrinkType="overwriteClear" connectionId="3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66" Type="http://schemas.openxmlformats.org/officeDocument/2006/relationships/queryTable" Target="../queryTables/queryTable65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61" Type="http://schemas.openxmlformats.org/officeDocument/2006/relationships/queryTable" Target="../queryTables/queryTable60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100"/>
  <sheetViews>
    <sheetView showGridLines="0" tabSelected="1" zoomScale="91" zoomScaleNormal="91" workbookViewId="0">
      <selection activeCell="Y18" sqref="B18:Y21"/>
    </sheetView>
  </sheetViews>
  <sheetFormatPr defaultRowHeight="15"/>
  <cols>
    <col min="8" max="8" width="9.140625" customWidth="1"/>
    <col min="22" max="26" width="15.85546875" customWidth="1"/>
    <col min="27" max="27" width="56.140625" customWidth="1"/>
    <col min="28" max="28" width="9.85546875" style="34" customWidth="1"/>
    <col min="29" max="29" width="55" customWidth="1"/>
    <col min="30" max="30" width="9.5703125" customWidth="1"/>
    <col min="33" max="33" width="12" bestFit="1" customWidth="1"/>
  </cols>
  <sheetData>
    <row r="1" spans="1:40" ht="15.75" thickBo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</row>
    <row r="2" spans="1:40" ht="15.75" thickBot="1">
      <c r="V2" s="85" t="s">
        <v>122</v>
      </c>
      <c r="W2" s="86">
        <f ca="1">TODAY()</f>
        <v>42396</v>
      </c>
    </row>
    <row r="3" spans="1:40">
      <c r="V3" s="87" t="s">
        <v>123</v>
      </c>
      <c r="W3" s="89">
        <f ca="1">MONTH(W2)</f>
        <v>1</v>
      </c>
      <c r="AA3" s="97" t="s">
        <v>115</v>
      </c>
      <c r="AB3" s="98"/>
      <c r="AC3" s="103" t="s">
        <v>128</v>
      </c>
      <c r="AD3" s="104"/>
    </row>
    <row r="4" spans="1:40">
      <c r="V4" s="87" t="s">
        <v>124</v>
      </c>
      <c r="W4" s="88">
        <f ca="1">WEEKNUM(W2)</f>
        <v>5</v>
      </c>
      <c r="AA4" s="99" t="s">
        <v>116</v>
      </c>
      <c r="AB4" s="100"/>
      <c r="AC4" s="105">
        <v>1</v>
      </c>
      <c r="AD4" s="106"/>
    </row>
    <row r="5" spans="1:40">
      <c r="V5" s="90" t="s">
        <v>125</v>
      </c>
      <c r="W5" s="91">
        <f ca="1">WEEKDAY(W2 )</f>
        <v>4</v>
      </c>
      <c r="AA5" s="99" t="s">
        <v>117</v>
      </c>
      <c r="AB5" s="100"/>
      <c r="AC5" s="105">
        <v>11</v>
      </c>
      <c r="AD5" s="106"/>
    </row>
    <row r="6" spans="1:40">
      <c r="V6" s="90" t="s">
        <v>126</v>
      </c>
      <c r="W6" s="92">
        <f ca="1">W2-WEEKDAY(W2-2)</f>
        <v>42394</v>
      </c>
      <c r="AA6" s="99" t="s">
        <v>118</v>
      </c>
      <c r="AB6" s="100"/>
      <c r="AC6" s="105">
        <v>6</v>
      </c>
      <c r="AD6" s="106"/>
    </row>
    <row r="7" spans="1:40" ht="15.75" thickBot="1">
      <c r="V7" s="93" t="s">
        <v>127</v>
      </c>
      <c r="W7" s="94">
        <f ca="1">W2+ 6 -WEEKDAY(W2-2)</f>
        <v>42400</v>
      </c>
      <c r="AA7" s="101" t="s">
        <v>119</v>
      </c>
      <c r="AB7" s="102"/>
      <c r="AC7" s="95">
        <v>10</v>
      </c>
      <c r="AD7" s="96"/>
    </row>
    <row r="8" spans="1:40" ht="15.75" thickBot="1"/>
    <row r="9" spans="1:40" ht="15.75" thickBot="1">
      <c r="AA9" s="71" t="s">
        <v>120</v>
      </c>
      <c r="AB9" s="74"/>
      <c r="AC9" s="78" t="s">
        <v>121</v>
      </c>
      <c r="AD9" s="78"/>
    </row>
    <row r="10" spans="1:40">
      <c r="C10" s="34"/>
      <c r="D10" s="34"/>
      <c r="AA10" s="70" t="s">
        <v>68</v>
      </c>
      <c r="AB10" s="75"/>
      <c r="AC10" s="79" t="s">
        <v>5</v>
      </c>
      <c r="AD10" s="79"/>
    </row>
    <row r="11" spans="1:40">
      <c r="C11" s="34"/>
      <c r="D11" s="34"/>
      <c r="AA11" s="72" t="s">
        <v>2</v>
      </c>
      <c r="AB11" s="76"/>
      <c r="AC11" s="80" t="s">
        <v>59</v>
      </c>
      <c r="AD11" s="80"/>
    </row>
    <row r="12" spans="1:40">
      <c r="C12" s="34"/>
      <c r="D12" s="34"/>
      <c r="Z12" s="34"/>
      <c r="AA12" s="72" t="s">
        <v>69</v>
      </c>
      <c r="AB12" s="76"/>
      <c r="AC12" s="80" t="s">
        <v>6</v>
      </c>
      <c r="AD12" s="80"/>
    </row>
    <row r="13" spans="1:40">
      <c r="C13" s="34"/>
      <c r="D13" s="34"/>
      <c r="X13" s="34"/>
      <c r="Z13" s="34"/>
      <c r="AA13" s="72" t="s">
        <v>70</v>
      </c>
      <c r="AB13" s="76"/>
      <c r="AC13" s="80" t="s">
        <v>60</v>
      </c>
      <c r="AD13" s="80"/>
    </row>
    <row r="14" spans="1:40">
      <c r="C14" s="34"/>
      <c r="D14" s="34"/>
      <c r="X14" s="34"/>
      <c r="Y14" s="34"/>
      <c r="Z14" s="34"/>
      <c r="AA14" s="72" t="s">
        <v>71</v>
      </c>
      <c r="AB14" s="76"/>
      <c r="AC14" s="80" t="s">
        <v>7</v>
      </c>
      <c r="AD14" s="80"/>
    </row>
    <row r="15" spans="1:40">
      <c r="C15" s="34"/>
      <c r="D15" s="34"/>
      <c r="F15" s="34"/>
      <c r="X15" s="34"/>
      <c r="Y15" s="34"/>
      <c r="Z15" s="34"/>
      <c r="AA15" s="72" t="s">
        <v>4</v>
      </c>
      <c r="AB15" s="76"/>
      <c r="AC15" s="80" t="s">
        <v>8</v>
      </c>
      <c r="AD15" s="80"/>
    </row>
    <row r="16" spans="1:40">
      <c r="C16" s="34"/>
      <c r="D16" s="34"/>
      <c r="E16" s="34"/>
      <c r="F16" s="34"/>
      <c r="X16" s="34"/>
      <c r="Y16" s="34"/>
      <c r="Z16" s="34"/>
      <c r="AA16" s="72"/>
      <c r="AB16" s="76"/>
      <c r="AC16" s="80" t="s">
        <v>72</v>
      </c>
      <c r="AD16" s="80"/>
    </row>
    <row r="17" spans="3:33">
      <c r="C17" s="34"/>
      <c r="D17" s="34"/>
      <c r="E17" s="34"/>
      <c r="F17" s="34"/>
      <c r="G17" s="34"/>
      <c r="X17" s="34"/>
      <c r="Y17" s="34"/>
      <c r="Z17" s="34"/>
      <c r="AA17" s="72"/>
      <c r="AB17" s="76"/>
      <c r="AC17" s="80" t="s">
        <v>9</v>
      </c>
      <c r="AD17" s="80"/>
    </row>
    <row r="18" spans="3:33">
      <c r="C18" s="34"/>
      <c r="D18" s="34"/>
      <c r="E18" s="34"/>
      <c r="F18" s="34"/>
      <c r="G18" s="34"/>
      <c r="X18" s="34"/>
      <c r="Y18" s="34"/>
      <c r="Z18" s="34"/>
      <c r="AA18" s="72"/>
      <c r="AB18" s="76"/>
      <c r="AC18" s="80" t="s">
        <v>10</v>
      </c>
      <c r="AD18" s="80"/>
    </row>
    <row r="19" spans="3:33">
      <c r="C19" s="34"/>
      <c r="D19" s="34"/>
      <c r="E19" s="34"/>
      <c r="F19" s="34"/>
      <c r="G19" s="34"/>
      <c r="X19" s="34"/>
      <c r="Y19" s="34"/>
      <c r="Z19" s="34"/>
      <c r="AA19" s="72"/>
      <c r="AB19" s="76"/>
      <c r="AC19" s="80" t="s">
        <v>58</v>
      </c>
      <c r="AD19" s="80"/>
      <c r="AG19" s="82"/>
    </row>
    <row r="20" spans="3:33">
      <c r="C20" s="34"/>
      <c r="D20" s="34"/>
      <c r="E20" s="34"/>
      <c r="F20" s="34"/>
      <c r="G20" s="34"/>
      <c r="T20" s="34"/>
      <c r="X20" s="34"/>
      <c r="Y20" s="34"/>
      <c r="Z20" s="34"/>
      <c r="AA20" s="72"/>
      <c r="AB20" s="76"/>
      <c r="AC20" s="80"/>
      <c r="AD20" s="80"/>
    </row>
    <row r="21" spans="3:33">
      <c r="C21" s="34"/>
      <c r="D21" s="34"/>
      <c r="E21" s="34"/>
      <c r="F21" s="34"/>
      <c r="G21" s="34"/>
      <c r="T21" s="34"/>
      <c r="X21" s="34"/>
      <c r="Y21" s="34"/>
      <c r="Z21" s="34"/>
      <c r="AA21" s="72"/>
      <c r="AB21" s="76"/>
      <c r="AC21" s="80"/>
      <c r="AD21" s="80"/>
    </row>
    <row r="22" spans="3:33">
      <c r="C22" s="34"/>
      <c r="D22" s="34"/>
      <c r="E22" s="34"/>
      <c r="F22" s="34"/>
      <c r="G22" s="34"/>
      <c r="T22" s="34"/>
      <c r="X22" s="34"/>
      <c r="Y22" s="34"/>
      <c r="Z22" s="34"/>
      <c r="AA22" s="72"/>
      <c r="AB22" s="76"/>
      <c r="AC22" s="80"/>
      <c r="AD22" s="80"/>
    </row>
    <row r="23" spans="3:33">
      <c r="C23" s="34"/>
      <c r="D23" s="34"/>
      <c r="E23" s="34"/>
      <c r="F23" s="34"/>
      <c r="G23" s="34"/>
      <c r="T23" s="34"/>
      <c r="X23" s="34"/>
      <c r="Y23" s="34"/>
      <c r="Z23" s="34"/>
      <c r="AA23" s="72"/>
      <c r="AB23" s="76"/>
      <c r="AC23" s="80"/>
      <c r="AD23" s="80"/>
      <c r="AG23" s="82"/>
    </row>
    <row r="24" spans="3:33">
      <c r="C24" s="34"/>
      <c r="D24" s="34"/>
      <c r="E24" s="34"/>
      <c r="F24" s="34"/>
      <c r="G24" s="34"/>
      <c r="T24" s="34"/>
      <c r="X24" s="34"/>
      <c r="Y24" s="34"/>
      <c r="Z24" s="34"/>
      <c r="AA24" s="72"/>
      <c r="AB24" s="76"/>
      <c r="AC24" s="80"/>
      <c r="AD24" s="80"/>
    </row>
    <row r="25" spans="3:33">
      <c r="C25" s="34"/>
      <c r="D25" s="34"/>
      <c r="E25" s="34"/>
      <c r="F25" s="34"/>
      <c r="G25" s="34"/>
      <c r="T25" s="34"/>
      <c r="X25" s="34"/>
      <c r="Y25" s="34"/>
      <c r="Z25" s="34"/>
      <c r="AA25" s="72"/>
      <c r="AB25" s="76"/>
      <c r="AC25" s="80"/>
      <c r="AD25" s="80"/>
    </row>
    <row r="26" spans="3:33">
      <c r="C26" s="34"/>
      <c r="E26" s="34"/>
      <c r="F26" s="34"/>
      <c r="G26" s="34"/>
      <c r="T26" s="34"/>
      <c r="X26" s="34"/>
      <c r="Y26" s="34"/>
      <c r="Z26" s="34"/>
      <c r="AA26" s="72"/>
      <c r="AB26" s="76"/>
      <c r="AC26" s="80"/>
      <c r="AD26" s="80"/>
    </row>
    <row r="27" spans="3:33" ht="15.75" thickBot="1">
      <c r="C27" s="34"/>
      <c r="E27" s="34"/>
      <c r="F27" s="34"/>
      <c r="G27" s="34"/>
      <c r="T27" s="34"/>
      <c r="X27" s="34"/>
      <c r="Y27" s="34"/>
      <c r="Z27" s="34"/>
      <c r="AA27" s="73"/>
      <c r="AB27" s="77"/>
      <c r="AC27" s="81"/>
      <c r="AD27" s="81"/>
    </row>
    <row r="28" spans="3:33">
      <c r="C28" s="34"/>
      <c r="E28" s="34"/>
      <c r="F28" s="34"/>
      <c r="G28" s="34"/>
      <c r="T28" s="34"/>
      <c r="X28" s="34"/>
      <c r="Y28" s="34"/>
      <c r="AA28" s="34"/>
      <c r="AC28" s="34"/>
    </row>
    <row r="29" spans="3:33">
      <c r="C29" s="34"/>
      <c r="E29" s="34"/>
      <c r="F29" s="34"/>
      <c r="G29" s="34"/>
      <c r="T29" s="34"/>
      <c r="X29" s="34"/>
      <c r="Y29" s="34"/>
      <c r="AA29" s="34"/>
      <c r="AC29" s="34"/>
    </row>
    <row r="30" spans="3:33">
      <c r="C30" s="34"/>
      <c r="E30" s="34"/>
      <c r="F30" s="34"/>
      <c r="G30" s="34"/>
      <c r="T30" s="34"/>
      <c r="X30" s="34"/>
      <c r="Y30" s="34"/>
      <c r="AA30" s="34"/>
      <c r="AC30" s="34"/>
    </row>
    <row r="31" spans="3:33">
      <c r="C31" s="34"/>
      <c r="E31" s="34"/>
      <c r="F31" s="34"/>
      <c r="G31" s="34"/>
      <c r="T31" s="34"/>
      <c r="X31" s="34"/>
      <c r="Y31" s="34"/>
      <c r="AA31" s="34"/>
      <c r="AC31" s="34"/>
    </row>
    <row r="32" spans="3:33">
      <c r="C32" s="34"/>
      <c r="D32" s="34"/>
      <c r="E32" s="34"/>
      <c r="F32" s="34"/>
      <c r="G32" s="34"/>
      <c r="T32" s="34"/>
    </row>
    <row r="33" spans="3:21">
      <c r="C33" s="34"/>
      <c r="D33" s="34"/>
      <c r="E33" s="34"/>
      <c r="F33" s="34"/>
      <c r="G33" s="34"/>
      <c r="T33" s="34"/>
    </row>
    <row r="34" spans="3:21">
      <c r="C34" s="34"/>
      <c r="D34" s="34"/>
      <c r="E34" s="34"/>
      <c r="F34" s="34"/>
      <c r="G34" s="34"/>
      <c r="T34" s="34"/>
    </row>
    <row r="35" spans="3:21">
      <c r="C35" s="34"/>
      <c r="D35" s="34"/>
      <c r="E35" s="34"/>
      <c r="F35" s="34"/>
      <c r="G35" s="34"/>
      <c r="T35" s="34"/>
    </row>
    <row r="36" spans="3:21">
      <c r="C36" s="34"/>
      <c r="D36" s="34"/>
      <c r="E36" s="34"/>
      <c r="F36" s="34"/>
      <c r="G36" s="34"/>
    </row>
    <row r="37" spans="3:21">
      <c r="C37" s="34"/>
      <c r="D37" s="34"/>
      <c r="E37" s="34"/>
      <c r="F37" s="34"/>
      <c r="G37" s="34"/>
    </row>
    <row r="38" spans="3:21">
      <c r="C38" s="34"/>
      <c r="D38" s="34"/>
      <c r="E38" s="34"/>
      <c r="F38" s="34"/>
      <c r="G38" s="34"/>
    </row>
    <row r="39" spans="3:21">
      <c r="C39" s="34"/>
      <c r="D39" s="34"/>
      <c r="E39" s="34"/>
      <c r="F39" s="34"/>
      <c r="G39" s="34"/>
    </row>
    <row r="40" spans="3:21">
      <c r="C40" s="34"/>
      <c r="D40" s="34"/>
      <c r="E40" s="34"/>
      <c r="F40" s="34"/>
      <c r="G40" s="34"/>
    </row>
    <row r="41" spans="3:21" s="34" customFormat="1"/>
    <row r="42" spans="3:21">
      <c r="C42" s="34"/>
      <c r="D42" s="34"/>
      <c r="E42" s="34"/>
      <c r="F42" s="34"/>
      <c r="G42" s="34"/>
    </row>
    <row r="43" spans="3:21" s="34" customFormat="1"/>
    <row r="44" spans="3:21">
      <c r="C44" s="34"/>
      <c r="D44" s="34"/>
      <c r="E44" s="34"/>
      <c r="F44" s="34"/>
      <c r="G44" s="34"/>
      <c r="T44" s="34"/>
      <c r="U44" s="34"/>
    </row>
    <row r="45" spans="3:21" s="34" customFormat="1"/>
    <row r="46" spans="3:21">
      <c r="C46" s="34"/>
      <c r="D46" s="34"/>
      <c r="E46" s="34"/>
      <c r="F46" s="34"/>
      <c r="G46" s="34"/>
      <c r="T46" s="34"/>
      <c r="U46" s="34"/>
    </row>
    <row r="47" spans="3:21" s="34" customFormat="1"/>
    <row r="48" spans="3:21">
      <c r="C48" s="34"/>
      <c r="D48" s="34"/>
      <c r="E48" s="34"/>
      <c r="F48" s="34"/>
      <c r="G48" s="34"/>
      <c r="S48" s="34"/>
      <c r="T48" s="34"/>
      <c r="U48" s="34"/>
    </row>
    <row r="49" spans="3:21" s="34" customFormat="1"/>
    <row r="50" spans="3:21">
      <c r="C50" s="34"/>
      <c r="D50" s="34"/>
      <c r="E50" s="34"/>
      <c r="F50" s="34"/>
      <c r="G50" s="34"/>
      <c r="S50" s="34"/>
      <c r="T50" s="34"/>
      <c r="U50" s="34"/>
    </row>
    <row r="51" spans="3:21" s="34" customFormat="1"/>
    <row r="52" spans="3:21">
      <c r="C52" s="34"/>
      <c r="D52" s="34"/>
      <c r="E52" s="34"/>
      <c r="F52" s="34"/>
      <c r="G52" s="34"/>
      <c r="S52" s="34"/>
      <c r="T52" s="34"/>
      <c r="U52" s="34"/>
    </row>
    <row r="53" spans="3:21" s="34" customFormat="1"/>
    <row r="54" spans="3:21">
      <c r="C54" s="34"/>
      <c r="D54" s="34"/>
      <c r="E54" s="34"/>
      <c r="F54" s="34"/>
      <c r="G54" s="34"/>
      <c r="S54" s="34"/>
      <c r="T54" s="34"/>
      <c r="U54" s="34"/>
    </row>
    <row r="55" spans="3:21" s="34" customFormat="1"/>
    <row r="56" spans="3:21">
      <c r="C56" s="34"/>
      <c r="D56" s="34"/>
      <c r="E56" s="34"/>
      <c r="G56" s="34"/>
      <c r="S56" s="34"/>
      <c r="T56" s="34"/>
      <c r="U56" s="34"/>
    </row>
    <row r="57" spans="3:21" s="34" customFormat="1"/>
    <row r="58" spans="3:21">
      <c r="C58" s="34"/>
      <c r="D58" s="34"/>
      <c r="E58" s="34"/>
      <c r="S58" s="34"/>
      <c r="T58" s="34"/>
      <c r="U58" s="34"/>
    </row>
    <row r="59" spans="3:21" s="34" customFormat="1"/>
    <row r="60" spans="3:21">
      <c r="C60" s="34"/>
      <c r="D60" s="34"/>
      <c r="E60" s="34"/>
      <c r="S60" s="34"/>
      <c r="T60" s="34"/>
      <c r="U60" s="34"/>
    </row>
    <row r="61" spans="3:21" s="34" customFormat="1"/>
    <row r="62" spans="3:21">
      <c r="C62" s="34"/>
      <c r="D62" s="34"/>
      <c r="E62" s="34"/>
      <c r="S62" s="34"/>
      <c r="T62" s="34"/>
      <c r="U62" s="34"/>
    </row>
    <row r="63" spans="3:21" s="34" customFormat="1"/>
    <row r="64" spans="3:21">
      <c r="C64" s="34"/>
      <c r="D64" s="34"/>
      <c r="E64" s="34"/>
      <c r="S64" s="34"/>
      <c r="T64" s="34"/>
      <c r="U64" s="34"/>
    </row>
    <row r="65" spans="3:21" s="34" customFormat="1"/>
    <row r="66" spans="3:21">
      <c r="C66" s="34"/>
      <c r="D66" s="34"/>
      <c r="E66" s="34"/>
      <c r="S66" s="34"/>
      <c r="T66" s="34"/>
      <c r="U66" s="34"/>
    </row>
    <row r="67" spans="3:21" s="34" customFormat="1"/>
    <row r="68" spans="3:21">
      <c r="C68" s="34"/>
      <c r="D68" s="34"/>
      <c r="E68" s="34"/>
      <c r="S68" s="34"/>
      <c r="T68" s="34"/>
      <c r="U68" s="34"/>
    </row>
    <row r="69" spans="3:21" s="34" customFormat="1"/>
    <row r="70" spans="3:21">
      <c r="C70" s="34"/>
      <c r="D70" s="34"/>
      <c r="E70" s="34"/>
      <c r="S70" s="34"/>
      <c r="T70" s="34"/>
      <c r="U70" s="34"/>
    </row>
    <row r="71" spans="3:21" s="34" customFormat="1"/>
    <row r="72" spans="3:21">
      <c r="C72" s="34"/>
      <c r="D72" s="34"/>
      <c r="E72" s="34"/>
      <c r="S72" s="34"/>
      <c r="T72" s="34"/>
      <c r="U72" s="34"/>
    </row>
    <row r="73" spans="3:21" s="34" customFormat="1"/>
    <row r="74" spans="3:21">
      <c r="C74" s="34"/>
      <c r="E74" s="34"/>
      <c r="S74" s="34"/>
      <c r="T74" s="34"/>
      <c r="U74" s="34"/>
    </row>
    <row r="75" spans="3:21" s="34" customFormat="1"/>
    <row r="76" spans="3:21">
      <c r="C76" s="34"/>
      <c r="D76" s="34"/>
      <c r="E76" s="34"/>
      <c r="S76" s="34"/>
      <c r="T76" s="34"/>
      <c r="U76" s="34"/>
    </row>
    <row r="77" spans="3:21">
      <c r="C77" s="34"/>
      <c r="D77" s="34"/>
      <c r="E77" s="34"/>
      <c r="T77" s="34"/>
      <c r="U77" s="34"/>
    </row>
    <row r="78" spans="3:21">
      <c r="C78" s="34"/>
      <c r="D78" s="34"/>
      <c r="E78" s="34"/>
    </row>
    <row r="79" spans="3:21">
      <c r="C79" s="34"/>
      <c r="D79" s="34"/>
      <c r="E79" s="34"/>
    </row>
    <row r="80" spans="3:21">
      <c r="C80" s="34"/>
      <c r="D80" s="34"/>
      <c r="E80" s="34"/>
    </row>
    <row r="81" spans="3:5">
      <c r="C81" s="34"/>
      <c r="D81" s="34"/>
      <c r="E81" s="34"/>
    </row>
    <row r="82" spans="3:5">
      <c r="C82" s="34"/>
      <c r="D82" s="34"/>
      <c r="E82" s="34"/>
    </row>
    <row r="83" spans="3:5">
      <c r="C83" s="34"/>
      <c r="D83" s="34"/>
      <c r="E83" s="34"/>
    </row>
    <row r="84" spans="3:5">
      <c r="C84" s="34"/>
      <c r="D84" s="34"/>
      <c r="E84" s="34"/>
    </row>
    <row r="85" spans="3:5">
      <c r="C85" s="34"/>
      <c r="D85" s="34"/>
      <c r="E85" s="34"/>
    </row>
    <row r="86" spans="3:5">
      <c r="C86" s="34"/>
      <c r="D86" s="34"/>
      <c r="E86" s="34"/>
    </row>
    <row r="87" spans="3:5">
      <c r="C87" s="34"/>
      <c r="D87" s="34"/>
      <c r="E87" s="34"/>
    </row>
    <row r="88" spans="3:5">
      <c r="C88" s="34"/>
      <c r="D88" s="34"/>
      <c r="E88" s="34"/>
    </row>
    <row r="89" spans="3:5">
      <c r="C89" s="34"/>
      <c r="D89" s="34"/>
      <c r="E89" s="34"/>
    </row>
    <row r="90" spans="3:5">
      <c r="C90" s="34"/>
      <c r="D90" s="34"/>
      <c r="E90" s="34"/>
    </row>
    <row r="91" spans="3:5">
      <c r="C91" s="34"/>
      <c r="D91" s="34"/>
      <c r="E91" s="34"/>
    </row>
    <row r="92" spans="3:5">
      <c r="C92" s="34"/>
      <c r="D92" s="34"/>
      <c r="E92" s="34"/>
    </row>
    <row r="93" spans="3:5">
      <c r="C93" s="34"/>
      <c r="D93" s="34"/>
      <c r="E93" s="34"/>
    </row>
    <row r="94" spans="3:5">
      <c r="C94" s="34"/>
      <c r="D94" s="34"/>
      <c r="E94" s="34"/>
    </row>
    <row r="95" spans="3:5">
      <c r="C95" s="34"/>
      <c r="D95" s="34"/>
      <c r="E95" s="34"/>
    </row>
    <row r="96" spans="3:5">
      <c r="C96" s="34"/>
      <c r="D96" s="34"/>
      <c r="E96" s="34"/>
    </row>
    <row r="97" spans="3:5">
      <c r="C97" s="34"/>
      <c r="D97" s="34"/>
      <c r="E97" s="34"/>
    </row>
    <row r="98" spans="3:5">
      <c r="C98" s="34"/>
      <c r="D98" s="34"/>
      <c r="E98" s="34"/>
    </row>
    <row r="99" spans="3:5">
      <c r="C99" s="34"/>
      <c r="D99" s="34"/>
      <c r="E99" s="34"/>
    </row>
    <row r="100" spans="3:5">
      <c r="C100" s="34"/>
      <c r="D100" s="34"/>
      <c r="E100" s="34"/>
    </row>
  </sheetData>
  <mergeCells count="10">
    <mergeCell ref="AC7:AD7"/>
    <mergeCell ref="AA3:AB3"/>
    <mergeCell ref="AA4:AB4"/>
    <mergeCell ref="AA5:AB5"/>
    <mergeCell ref="AA6:AB6"/>
    <mergeCell ref="AA7:AB7"/>
    <mergeCell ref="AC3:AD3"/>
    <mergeCell ref="AC4:AD4"/>
    <mergeCell ref="AC5:AD5"/>
    <mergeCell ref="AC6:A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1:R87"/>
  <sheetViews>
    <sheetView showGridLines="0" zoomScale="70" zoomScaleNormal="70" zoomScalePageLayoutView="70" workbookViewId="0">
      <selection activeCell="A14" sqref="A14:XFD35"/>
    </sheetView>
  </sheetViews>
  <sheetFormatPr defaultColWidth="9.140625" defaultRowHeight="15"/>
  <cols>
    <col min="1" max="1" width="5.7109375" style="10" customWidth="1"/>
    <col min="2" max="2" width="20" style="10" customWidth="1"/>
    <col min="3" max="3" width="10.28515625" style="10" customWidth="1"/>
    <col min="4" max="4" width="11.85546875" style="10" customWidth="1"/>
    <col min="5" max="6" width="11.5703125" style="10" customWidth="1"/>
    <col min="7" max="16384" width="9.140625" style="10"/>
  </cols>
  <sheetData>
    <row r="1" spans="2:18" ht="15.75" thickBot="1"/>
    <row r="2" spans="2:18" s="11" customFormat="1" ht="40.5" customHeight="1" thickBot="1">
      <c r="B2" s="107"/>
      <c r="C2" s="108"/>
      <c r="D2" s="108"/>
      <c r="E2" s="109"/>
      <c r="F2" s="109"/>
    </row>
    <row r="4" spans="2:18" s="34" customFormat="1"/>
    <row r="5" spans="2:18" ht="15.75" thickBot="1"/>
    <row r="6" spans="2:18" ht="24" thickBot="1">
      <c r="B6" s="12"/>
      <c r="C6" s="110" t="s">
        <v>0</v>
      </c>
      <c r="D6" s="111"/>
      <c r="E6" s="110" t="s">
        <v>1</v>
      </c>
      <c r="F6" s="112"/>
    </row>
    <row r="7" spans="2:18" ht="60" customHeight="1" thickBot="1">
      <c r="B7" s="15"/>
      <c r="C7" s="38"/>
      <c r="D7" s="39"/>
      <c r="E7" s="38"/>
      <c r="F7" s="25"/>
    </row>
    <row r="8" spans="2:18">
      <c r="B8" s="23" t="s">
        <v>114</v>
      </c>
      <c r="C8" s="40"/>
      <c r="D8" s="41"/>
      <c r="E8" s="40"/>
      <c r="F8" s="42"/>
    </row>
    <row r="9" spans="2:18" ht="15.75" thickBot="1">
      <c r="B9" s="24"/>
      <c r="C9" s="45"/>
      <c r="D9" s="21"/>
      <c r="E9" s="28"/>
      <c r="F9" s="32"/>
    </row>
    <row r="10" spans="2:18">
      <c r="B10" s="22"/>
      <c r="C10" s="16"/>
      <c r="D10" s="47"/>
      <c r="E10" s="26"/>
      <c r="F10" s="31"/>
    </row>
    <row r="11" spans="2:18" ht="15.75" thickBot="1">
      <c r="B11" s="20"/>
      <c r="C11" s="46"/>
      <c r="D11" s="21"/>
      <c r="E11" s="46"/>
      <c r="F11" s="30"/>
    </row>
    <row r="13" spans="2:18" ht="15.75" thickBot="1"/>
    <row r="14" spans="2:18">
      <c r="B14" s="113" t="s">
        <v>21</v>
      </c>
      <c r="C14" s="114"/>
      <c r="D14" s="115" t="s">
        <v>22</v>
      </c>
      <c r="E14" s="116"/>
      <c r="F14" s="116"/>
      <c r="G14" s="117"/>
      <c r="H14" s="13"/>
      <c r="I14" s="13"/>
      <c r="J14" s="13"/>
    </row>
    <row r="15" spans="2:18" ht="15.75" thickBot="1">
      <c r="B15" s="118" t="s">
        <v>23</v>
      </c>
      <c r="C15" s="119"/>
      <c r="D15" s="120" t="s">
        <v>24</v>
      </c>
      <c r="E15" s="121"/>
      <c r="F15" s="121"/>
      <c r="G15" s="122"/>
      <c r="H15" s="13"/>
      <c r="I15" s="13"/>
      <c r="J15" s="13"/>
    </row>
    <row r="16" spans="2:18">
      <c r="B16" s="43"/>
      <c r="C16" s="43"/>
      <c r="D16" s="43"/>
      <c r="E16" s="43"/>
      <c r="F16" s="43"/>
      <c r="G16" s="43"/>
      <c r="H16" s="43"/>
      <c r="I16" s="43"/>
      <c r="J16" s="43"/>
      <c r="K16" s="34"/>
      <c r="L16" s="34"/>
      <c r="M16" s="34"/>
      <c r="N16" s="34"/>
      <c r="O16" s="34"/>
      <c r="P16" s="34"/>
      <c r="Q16" s="34"/>
      <c r="R16" s="34"/>
    </row>
    <row r="17" spans="2:18" ht="15.75" thickBot="1"/>
    <row r="18" spans="2:18" ht="27.75" customHeight="1">
      <c r="B18" s="130" t="s">
        <v>21</v>
      </c>
      <c r="C18" s="131"/>
      <c r="D18" s="136" t="s">
        <v>25</v>
      </c>
      <c r="E18" s="137"/>
      <c r="F18" s="138" t="s">
        <v>26</v>
      </c>
      <c r="G18" s="139"/>
      <c r="H18" s="139"/>
      <c r="I18" s="140"/>
      <c r="J18" s="141"/>
      <c r="K18" s="141"/>
      <c r="L18" s="141"/>
      <c r="M18" s="141"/>
      <c r="N18" s="141"/>
      <c r="O18" s="141"/>
      <c r="P18" s="141"/>
      <c r="Q18" s="141"/>
      <c r="R18" s="142"/>
    </row>
    <row r="19" spans="2:18" ht="27.75" customHeight="1">
      <c r="B19" s="132"/>
      <c r="C19" s="133"/>
      <c r="D19" s="143" t="s">
        <v>2</v>
      </c>
      <c r="E19" s="144"/>
      <c r="F19" s="145" t="s">
        <v>27</v>
      </c>
      <c r="G19" s="146"/>
      <c r="H19" s="146"/>
      <c r="I19" s="147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2:18" ht="27.75" customHeight="1">
      <c r="B20" s="132"/>
      <c r="C20" s="133"/>
      <c r="D20" s="143" t="s">
        <v>3</v>
      </c>
      <c r="E20" s="144"/>
      <c r="F20" s="145" t="s">
        <v>28</v>
      </c>
      <c r="G20" s="146"/>
      <c r="H20" s="146"/>
      <c r="I20" s="147"/>
      <c r="J20" s="148"/>
      <c r="K20" s="148"/>
      <c r="L20" s="148"/>
      <c r="M20" s="148"/>
      <c r="N20" s="148"/>
      <c r="O20" s="148"/>
      <c r="P20" s="148"/>
      <c r="Q20" s="148"/>
      <c r="R20" s="149"/>
    </row>
    <row r="21" spans="2:18" ht="27.75" customHeight="1">
      <c r="B21" s="132"/>
      <c r="C21" s="133"/>
      <c r="D21" s="143" t="s">
        <v>29</v>
      </c>
      <c r="E21" s="144"/>
      <c r="F21" s="145" t="s">
        <v>30</v>
      </c>
      <c r="G21" s="146"/>
      <c r="H21" s="146"/>
      <c r="I21" s="147"/>
      <c r="J21" s="148"/>
      <c r="K21" s="148"/>
      <c r="L21" s="148"/>
      <c r="M21" s="148"/>
      <c r="N21" s="148"/>
      <c r="O21" s="148"/>
      <c r="P21" s="148"/>
      <c r="Q21" s="148"/>
      <c r="R21" s="149"/>
    </row>
    <row r="22" spans="2:18" ht="33" customHeight="1">
      <c r="B22" s="132"/>
      <c r="C22" s="133"/>
      <c r="D22" s="143" t="s">
        <v>31</v>
      </c>
      <c r="E22" s="144"/>
      <c r="F22" s="145" t="s">
        <v>32</v>
      </c>
      <c r="G22" s="146"/>
      <c r="H22" s="146"/>
      <c r="I22" s="147"/>
      <c r="J22" s="148"/>
      <c r="K22" s="148"/>
      <c r="L22" s="148"/>
      <c r="M22" s="148"/>
      <c r="N22" s="148"/>
      <c r="O22" s="148"/>
      <c r="P22" s="148"/>
      <c r="Q22" s="148"/>
      <c r="R22" s="149"/>
    </row>
    <row r="23" spans="2:18" ht="28.5" customHeight="1" thickBot="1">
      <c r="B23" s="134"/>
      <c r="C23" s="135"/>
      <c r="D23" s="123" t="s">
        <v>4</v>
      </c>
      <c r="E23" s="124"/>
      <c r="F23" s="125" t="s">
        <v>33</v>
      </c>
      <c r="G23" s="126"/>
      <c r="H23" s="126"/>
      <c r="I23" s="127"/>
      <c r="J23" s="128"/>
      <c r="K23" s="128"/>
      <c r="L23" s="128"/>
      <c r="M23" s="128"/>
      <c r="N23" s="128"/>
      <c r="O23" s="128"/>
      <c r="P23" s="128"/>
      <c r="Q23" s="128"/>
      <c r="R23" s="129"/>
    </row>
    <row r="24" spans="2:18" ht="27.75" customHeight="1">
      <c r="B24" s="162" t="s">
        <v>23</v>
      </c>
      <c r="C24" s="163"/>
      <c r="D24" s="160" t="s">
        <v>5</v>
      </c>
      <c r="E24" s="161"/>
      <c r="F24" s="150" t="s">
        <v>34</v>
      </c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51"/>
    </row>
    <row r="25" spans="2:18" ht="27.75" customHeight="1">
      <c r="B25" s="132"/>
      <c r="C25" s="164"/>
      <c r="D25" s="158" t="s">
        <v>59</v>
      </c>
      <c r="E25" s="159"/>
      <c r="F25" s="168" t="s">
        <v>62</v>
      </c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70"/>
    </row>
    <row r="26" spans="2:18" ht="27.75" customHeight="1">
      <c r="B26" s="132"/>
      <c r="C26" s="164"/>
      <c r="D26" s="158" t="s">
        <v>6</v>
      </c>
      <c r="E26" s="159"/>
      <c r="F26" s="152" t="s">
        <v>63</v>
      </c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4"/>
    </row>
    <row r="27" spans="2:18" ht="27.75" customHeight="1">
      <c r="B27" s="132"/>
      <c r="C27" s="164"/>
      <c r="D27" s="143" t="s">
        <v>60</v>
      </c>
      <c r="E27" s="144"/>
      <c r="F27" s="155" t="s">
        <v>64</v>
      </c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7"/>
    </row>
    <row r="28" spans="2:18" ht="27.75" customHeight="1">
      <c r="B28" s="132"/>
      <c r="C28" s="164"/>
      <c r="D28" s="158" t="s">
        <v>7</v>
      </c>
      <c r="E28" s="159"/>
      <c r="F28" s="152" t="s">
        <v>35</v>
      </c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4"/>
    </row>
    <row r="29" spans="2:18" ht="45" customHeight="1">
      <c r="B29" s="132"/>
      <c r="C29" s="164"/>
      <c r="D29" s="158" t="s">
        <v>8</v>
      </c>
      <c r="E29" s="159"/>
      <c r="F29" s="152" t="s">
        <v>36</v>
      </c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4"/>
    </row>
    <row r="30" spans="2:18" ht="48" customHeight="1">
      <c r="B30" s="132"/>
      <c r="C30" s="164"/>
      <c r="D30" s="158" t="s">
        <v>37</v>
      </c>
      <c r="E30" s="159"/>
      <c r="F30" s="152" t="s">
        <v>38</v>
      </c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4"/>
    </row>
    <row r="31" spans="2:18" ht="27.75" customHeight="1">
      <c r="B31" s="132"/>
      <c r="C31" s="164"/>
      <c r="D31" s="158" t="s">
        <v>39</v>
      </c>
      <c r="E31" s="159"/>
      <c r="F31" s="152" t="s">
        <v>40</v>
      </c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4"/>
    </row>
    <row r="32" spans="2:18" ht="40.5" customHeight="1">
      <c r="B32" s="132"/>
      <c r="C32" s="164"/>
      <c r="D32" s="158" t="s">
        <v>9</v>
      </c>
      <c r="E32" s="159"/>
      <c r="F32" s="152" t="s">
        <v>41</v>
      </c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4"/>
    </row>
    <row r="33" spans="2:18" ht="27" customHeight="1">
      <c r="B33" s="132"/>
      <c r="C33" s="164"/>
      <c r="D33" s="158" t="s">
        <v>10</v>
      </c>
      <c r="E33" s="159"/>
      <c r="F33" s="152" t="s">
        <v>42</v>
      </c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4"/>
    </row>
    <row r="34" spans="2:18" ht="27" customHeight="1">
      <c r="B34" s="132"/>
      <c r="C34" s="164"/>
      <c r="D34" s="143" t="s">
        <v>65</v>
      </c>
      <c r="E34" s="144"/>
      <c r="F34" s="166" t="s">
        <v>66</v>
      </c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9"/>
    </row>
    <row r="35" spans="2:18" ht="30" customHeight="1" thickBot="1">
      <c r="B35" s="134"/>
      <c r="C35" s="165"/>
      <c r="D35" s="123" t="s">
        <v>58</v>
      </c>
      <c r="E35" s="124"/>
      <c r="F35" s="167" t="s">
        <v>67</v>
      </c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9"/>
    </row>
    <row r="37" spans="2:18" ht="16.5" customHeight="1"/>
    <row r="41" spans="2:18" ht="16.5" customHeight="1"/>
    <row r="68" spans="2:6" ht="30" customHeight="1"/>
    <row r="73" spans="2:6" s="14" customFormat="1" ht="27.75" customHeight="1">
      <c r="B73" s="10"/>
      <c r="C73" s="10"/>
      <c r="D73" s="10"/>
      <c r="E73" s="10"/>
      <c r="F73" s="10"/>
    </row>
    <row r="74" spans="2:6" s="14" customFormat="1" ht="27.75" customHeight="1">
      <c r="B74" s="10"/>
      <c r="C74" s="10"/>
      <c r="D74" s="10"/>
      <c r="E74" s="10"/>
      <c r="F74" s="10"/>
    </row>
    <row r="75" spans="2:6" s="14" customFormat="1" ht="27.75" customHeight="1">
      <c r="B75" s="10"/>
      <c r="C75" s="10"/>
      <c r="D75" s="10"/>
      <c r="E75" s="10"/>
      <c r="F75" s="10"/>
    </row>
    <row r="76" spans="2:6" s="14" customFormat="1" ht="27.75" customHeight="1">
      <c r="B76" s="10"/>
      <c r="C76" s="10"/>
      <c r="D76" s="10"/>
      <c r="E76" s="10"/>
      <c r="F76" s="10"/>
    </row>
    <row r="77" spans="2:6" s="14" customFormat="1" ht="27.75" customHeight="1">
      <c r="B77" s="10"/>
      <c r="C77" s="10"/>
      <c r="D77" s="10"/>
      <c r="E77" s="10"/>
      <c r="F77" s="10"/>
    </row>
    <row r="78" spans="2:6" s="14" customFormat="1" ht="27.75" customHeight="1">
      <c r="B78" s="10"/>
      <c r="C78" s="10"/>
      <c r="D78" s="10"/>
      <c r="E78" s="10"/>
      <c r="F78" s="10"/>
    </row>
    <row r="79" spans="2:6" s="14" customFormat="1" ht="27.75" customHeight="1">
      <c r="B79" s="10"/>
      <c r="C79" s="10"/>
      <c r="D79" s="10"/>
      <c r="E79" s="10"/>
      <c r="F79" s="10"/>
    </row>
    <row r="80" spans="2:6" s="14" customFormat="1" ht="27.75" customHeight="1">
      <c r="B80" s="10"/>
      <c r="C80" s="10"/>
      <c r="D80" s="10"/>
      <c r="E80" s="10"/>
      <c r="F80" s="10"/>
    </row>
    <row r="81" spans="2:6" s="14" customFormat="1" ht="27.75" customHeight="1">
      <c r="B81" s="10"/>
      <c r="C81" s="10"/>
      <c r="D81" s="10"/>
      <c r="E81" s="10"/>
      <c r="F81" s="10"/>
    </row>
    <row r="82" spans="2:6" s="14" customFormat="1" ht="27.75" customHeight="1">
      <c r="B82" s="10"/>
      <c r="C82" s="10"/>
      <c r="D82" s="10"/>
      <c r="E82" s="10"/>
      <c r="F82" s="10"/>
    </row>
    <row r="83" spans="2:6" s="14" customFormat="1" ht="27.75" customHeight="1">
      <c r="B83" s="10"/>
      <c r="C83" s="10"/>
      <c r="D83" s="10"/>
      <c r="E83" s="10"/>
      <c r="F83" s="10"/>
    </row>
    <row r="84" spans="2:6" s="14" customFormat="1" ht="27.75" customHeight="1">
      <c r="B84" s="10"/>
      <c r="C84" s="10"/>
      <c r="D84" s="10"/>
      <c r="E84" s="10"/>
      <c r="F84" s="10"/>
    </row>
    <row r="85" spans="2:6" s="14" customFormat="1" ht="41.25" customHeight="1">
      <c r="B85" s="10"/>
      <c r="C85" s="10"/>
      <c r="D85" s="10"/>
      <c r="E85" s="10"/>
      <c r="F85" s="10"/>
    </row>
    <row r="86" spans="2:6" s="14" customFormat="1" ht="27.75" customHeight="1">
      <c r="B86" s="10"/>
      <c r="C86" s="10"/>
      <c r="D86" s="10"/>
      <c r="E86" s="10"/>
      <c r="F86" s="10"/>
    </row>
    <row r="87" spans="2:6" s="14" customFormat="1" ht="25.5" customHeight="1">
      <c r="B87" s="10"/>
      <c r="C87" s="10"/>
      <c r="D87" s="10"/>
      <c r="E87" s="10"/>
      <c r="F87" s="10"/>
    </row>
  </sheetData>
  <mergeCells count="45">
    <mergeCell ref="B24:C35"/>
    <mergeCell ref="D32:E32"/>
    <mergeCell ref="F32:R32"/>
    <mergeCell ref="D33:E33"/>
    <mergeCell ref="F33:R33"/>
    <mergeCell ref="D34:E34"/>
    <mergeCell ref="F34:R34"/>
    <mergeCell ref="D35:E35"/>
    <mergeCell ref="F35:R35"/>
    <mergeCell ref="D26:E26"/>
    <mergeCell ref="F26:R26"/>
    <mergeCell ref="D25:E25"/>
    <mergeCell ref="F25:R25"/>
    <mergeCell ref="D30:E30"/>
    <mergeCell ref="F30:R30"/>
    <mergeCell ref="D31:E31"/>
    <mergeCell ref="F24:R24"/>
    <mergeCell ref="F31:R31"/>
    <mergeCell ref="D27:E27"/>
    <mergeCell ref="F27:R27"/>
    <mergeCell ref="D28:E28"/>
    <mergeCell ref="F28:R28"/>
    <mergeCell ref="D29:E29"/>
    <mergeCell ref="F29:R29"/>
    <mergeCell ref="D24:E24"/>
    <mergeCell ref="B15:C15"/>
    <mergeCell ref="D15:G15"/>
    <mergeCell ref="D23:E23"/>
    <mergeCell ref="F23:R23"/>
    <mergeCell ref="B18:C23"/>
    <mergeCell ref="D18:E18"/>
    <mergeCell ref="F18:R18"/>
    <mergeCell ref="D19:E19"/>
    <mergeCell ref="F19:R19"/>
    <mergeCell ref="D20:E20"/>
    <mergeCell ref="F20:R20"/>
    <mergeCell ref="D21:E21"/>
    <mergeCell ref="F21:R21"/>
    <mergeCell ref="D22:E22"/>
    <mergeCell ref="F22:R22"/>
    <mergeCell ref="B2:F2"/>
    <mergeCell ref="C6:D6"/>
    <mergeCell ref="E6:F6"/>
    <mergeCell ref="B14:C14"/>
    <mergeCell ref="D14:G14"/>
  </mergeCells>
  <pageMargins left="0.511811024" right="0.511811024" top="0.78740157499999996" bottom="0.78740157499999996" header="0.31496062000000002" footer="0.31496062000000002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9"/>
  <sheetViews>
    <sheetView zoomScaleNormal="100" workbookViewId="0">
      <selection activeCell="A2" sqref="A2:A49"/>
    </sheetView>
  </sheetViews>
  <sheetFormatPr defaultRowHeight="15"/>
  <cols>
    <col min="1" max="1" width="19.7109375" bestFit="1" customWidth="1"/>
    <col min="2" max="2" width="11.42578125" bestFit="1" customWidth="1"/>
    <col min="3" max="3" width="16.42578125" bestFit="1" customWidth="1"/>
    <col min="4" max="4" width="10.42578125" bestFit="1" customWidth="1"/>
    <col min="5" max="5" width="11.85546875" bestFit="1" customWidth="1"/>
    <col min="6" max="6" width="15.5703125" bestFit="1" customWidth="1"/>
    <col min="7" max="7" width="16.7109375" bestFit="1" customWidth="1"/>
    <col min="8" max="8" width="13.85546875" bestFit="1" customWidth="1"/>
    <col min="9" max="9" width="7" bestFit="1" customWidth="1"/>
    <col min="10" max="10" width="12.28515625" bestFit="1" customWidth="1"/>
    <col min="11" max="11" width="19.85546875" bestFit="1" customWidth="1"/>
    <col min="12" max="12" width="15.7109375" bestFit="1" customWidth="1"/>
    <col min="13" max="13" width="18" bestFit="1" customWidth="1"/>
    <col min="14" max="14" width="12.140625" bestFit="1" customWidth="1"/>
    <col min="15" max="15" width="17.5703125" bestFit="1" customWidth="1"/>
    <col min="16" max="16" width="16.85546875" bestFit="1" customWidth="1"/>
    <col min="17" max="17" width="18.5703125" bestFit="1" customWidth="1"/>
    <col min="18" max="18" width="16.140625" bestFit="1" customWidth="1"/>
    <col min="19" max="19" width="20.42578125" bestFit="1" customWidth="1"/>
    <col min="20" max="20" width="12.140625" bestFit="1" customWidth="1"/>
    <col min="21" max="21" width="17.5703125" bestFit="1" customWidth="1"/>
    <col min="22" max="22" width="16.85546875" bestFit="1" customWidth="1"/>
    <col min="23" max="23" width="18.5703125" bestFit="1" customWidth="1"/>
    <col min="24" max="24" width="16.140625" bestFit="1" customWidth="1"/>
  </cols>
  <sheetData>
    <row r="1" spans="1:18">
      <c r="A1" t="s">
        <v>96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  <c r="J1" t="s">
        <v>105</v>
      </c>
      <c r="K1" t="s">
        <v>106</v>
      </c>
      <c r="L1" t="s">
        <v>107</v>
      </c>
      <c r="M1" t="s">
        <v>108</v>
      </c>
      <c r="N1" t="s">
        <v>109</v>
      </c>
      <c r="O1" t="s">
        <v>110</v>
      </c>
      <c r="P1" t="s">
        <v>111</v>
      </c>
      <c r="Q1" t="s">
        <v>112</v>
      </c>
      <c r="R1" t="s">
        <v>113</v>
      </c>
    </row>
    <row r="2" spans="1:18">
      <c r="A2" t="s">
        <v>61</v>
      </c>
      <c r="B2">
        <v>2016</v>
      </c>
      <c r="C2" s="189">
        <v>42395</v>
      </c>
      <c r="D2">
        <v>763</v>
      </c>
      <c r="E2">
        <v>179</v>
      </c>
      <c r="F2">
        <v>174</v>
      </c>
      <c r="G2">
        <v>1049</v>
      </c>
      <c r="H2">
        <v>2209</v>
      </c>
      <c r="I2">
        <v>399882</v>
      </c>
      <c r="J2">
        <v>824</v>
      </c>
      <c r="K2">
        <v>457</v>
      </c>
      <c r="L2">
        <v>2344</v>
      </c>
      <c r="M2">
        <v>771</v>
      </c>
      <c r="N2">
        <v>2.8446601941699998</v>
      </c>
      <c r="O2">
        <v>34.162520729699999</v>
      </c>
      <c r="P2">
        <v>40.643344709899999</v>
      </c>
      <c r="Q2">
        <v>5.5797101449299999</v>
      </c>
      <c r="R2">
        <v>8.2971014492799995</v>
      </c>
    </row>
    <row r="3" spans="1:18">
      <c r="A3" t="s">
        <v>61</v>
      </c>
      <c r="B3">
        <v>2016</v>
      </c>
      <c r="C3" s="189">
        <v>42388</v>
      </c>
      <c r="D3">
        <v>529</v>
      </c>
      <c r="E3">
        <v>149</v>
      </c>
      <c r="F3">
        <v>153</v>
      </c>
      <c r="G3">
        <v>953</v>
      </c>
      <c r="H3">
        <v>2293</v>
      </c>
      <c r="I3">
        <v>316076</v>
      </c>
      <c r="J3">
        <v>763</v>
      </c>
      <c r="K3">
        <v>378</v>
      </c>
      <c r="L3">
        <v>2442</v>
      </c>
      <c r="M3">
        <v>700</v>
      </c>
      <c r="N3">
        <v>3.2005242464000001</v>
      </c>
      <c r="O3">
        <v>33.116319444399998</v>
      </c>
      <c r="P3">
        <v>29.870597870600001</v>
      </c>
      <c r="Q3">
        <v>2.1837349397599999</v>
      </c>
      <c r="R3">
        <v>5.0451807228899996</v>
      </c>
    </row>
    <row r="4" spans="1:18">
      <c r="A4" t="s">
        <v>61</v>
      </c>
      <c r="B4">
        <v>2016</v>
      </c>
      <c r="C4" s="189">
        <v>42381</v>
      </c>
      <c r="D4">
        <v>765</v>
      </c>
      <c r="E4">
        <v>252</v>
      </c>
      <c r="F4">
        <v>209</v>
      </c>
      <c r="G4">
        <v>1274</v>
      </c>
      <c r="H4">
        <v>2638</v>
      </c>
      <c r="I4">
        <v>454481</v>
      </c>
      <c r="J4">
        <v>782</v>
      </c>
      <c r="K4">
        <v>430</v>
      </c>
      <c r="L4">
        <v>2420</v>
      </c>
      <c r="M4">
        <v>682</v>
      </c>
      <c r="N4">
        <v>3.0946291560099999</v>
      </c>
      <c r="O4">
        <v>32.815778430500004</v>
      </c>
      <c r="P4">
        <v>46.707024793400002</v>
      </c>
      <c r="Q4">
        <v>1.2427184466000001</v>
      </c>
      <c r="R4">
        <v>3.76699029126</v>
      </c>
    </row>
    <row r="5" spans="1:18">
      <c r="A5" t="s">
        <v>61</v>
      </c>
      <c r="B5">
        <v>2016</v>
      </c>
      <c r="C5" s="189">
        <v>42374</v>
      </c>
      <c r="D5">
        <v>938</v>
      </c>
      <c r="E5">
        <v>236</v>
      </c>
      <c r="F5">
        <v>235</v>
      </c>
      <c r="G5">
        <v>1215</v>
      </c>
      <c r="H5">
        <v>2101</v>
      </c>
      <c r="I5">
        <v>423926</v>
      </c>
      <c r="J5">
        <v>571</v>
      </c>
      <c r="K5">
        <v>368</v>
      </c>
      <c r="L5">
        <v>1715</v>
      </c>
      <c r="M5">
        <v>547</v>
      </c>
      <c r="N5">
        <v>3.00350262697</v>
      </c>
      <c r="O5">
        <v>27.203430204899998</v>
      </c>
      <c r="P5">
        <v>60.123615160299998</v>
      </c>
      <c r="Q5">
        <v>2.6941362916</v>
      </c>
      <c r="R5">
        <v>4.8071843634400002</v>
      </c>
    </row>
    <row r="6" spans="1:18">
      <c r="A6" t="s">
        <v>15</v>
      </c>
      <c r="B6">
        <v>2016</v>
      </c>
      <c r="C6" s="189">
        <v>42395</v>
      </c>
      <c r="D6">
        <v>23</v>
      </c>
      <c r="E6">
        <v>2</v>
      </c>
      <c r="F6">
        <v>4</v>
      </c>
      <c r="G6">
        <v>16</v>
      </c>
      <c r="H6">
        <v>11</v>
      </c>
      <c r="I6">
        <v>18859</v>
      </c>
      <c r="J6">
        <v>5</v>
      </c>
      <c r="K6">
        <v>5</v>
      </c>
      <c r="L6">
        <v>12</v>
      </c>
      <c r="M6">
        <v>10</v>
      </c>
      <c r="N6">
        <v>2.4</v>
      </c>
      <c r="O6">
        <v>15.1515151515</v>
      </c>
      <c r="P6">
        <v>488.33333333299998</v>
      </c>
      <c r="Q6">
        <v>0</v>
      </c>
      <c r="R6">
        <v>0</v>
      </c>
    </row>
    <row r="7" spans="1:18">
      <c r="A7" t="s">
        <v>15</v>
      </c>
      <c r="B7">
        <v>2016</v>
      </c>
      <c r="C7" s="189">
        <v>42388</v>
      </c>
      <c r="D7">
        <v>23</v>
      </c>
      <c r="E7">
        <v>12</v>
      </c>
      <c r="F7">
        <v>12</v>
      </c>
      <c r="G7">
        <v>37</v>
      </c>
      <c r="H7">
        <v>32</v>
      </c>
      <c r="I7">
        <v>5497</v>
      </c>
      <c r="J7">
        <v>4</v>
      </c>
      <c r="K7">
        <v>3</v>
      </c>
      <c r="L7">
        <v>6</v>
      </c>
      <c r="M7">
        <v>3</v>
      </c>
      <c r="N7">
        <v>1.5</v>
      </c>
      <c r="O7">
        <v>13.7931034483</v>
      </c>
      <c r="P7">
        <v>131</v>
      </c>
      <c r="Q7">
        <v>21.052631578900002</v>
      </c>
      <c r="R7">
        <v>21.052631578900002</v>
      </c>
    </row>
    <row r="8" spans="1:18">
      <c r="A8" t="s">
        <v>15</v>
      </c>
      <c r="B8">
        <v>2016</v>
      </c>
      <c r="C8" s="189">
        <v>42381</v>
      </c>
      <c r="D8">
        <v>36</v>
      </c>
      <c r="E8">
        <v>8</v>
      </c>
      <c r="F8">
        <v>9</v>
      </c>
      <c r="G8">
        <v>25</v>
      </c>
      <c r="H8">
        <v>25</v>
      </c>
      <c r="I8">
        <v>21770</v>
      </c>
      <c r="J8">
        <v>3</v>
      </c>
      <c r="K8">
        <v>3</v>
      </c>
      <c r="L8">
        <v>9</v>
      </c>
      <c r="M8">
        <v>7</v>
      </c>
      <c r="N8">
        <v>3</v>
      </c>
      <c r="O8">
        <v>7.1428571428599996</v>
      </c>
      <c r="P8">
        <v>402</v>
      </c>
      <c r="Q8">
        <v>0</v>
      </c>
      <c r="R8">
        <v>0</v>
      </c>
    </row>
    <row r="9" spans="1:18">
      <c r="A9" t="s">
        <v>15</v>
      </c>
      <c r="B9">
        <v>2016</v>
      </c>
      <c r="C9" s="189">
        <v>42374</v>
      </c>
      <c r="D9">
        <v>34</v>
      </c>
      <c r="E9">
        <v>5</v>
      </c>
      <c r="F9">
        <v>13</v>
      </c>
      <c r="G9">
        <v>27</v>
      </c>
      <c r="H9">
        <v>19</v>
      </c>
      <c r="I9">
        <v>26354</v>
      </c>
      <c r="J9">
        <v>5</v>
      </c>
      <c r="K9">
        <v>2</v>
      </c>
      <c r="L9">
        <v>10</v>
      </c>
      <c r="M9">
        <v>3</v>
      </c>
      <c r="N9">
        <v>2</v>
      </c>
      <c r="O9">
        <v>9.2592592592600003</v>
      </c>
      <c r="P9">
        <v>549.70000000000005</v>
      </c>
      <c r="Q9">
        <v>0</v>
      </c>
      <c r="R9">
        <v>0</v>
      </c>
    </row>
    <row r="10" spans="1:18">
      <c r="A10" t="s">
        <v>57</v>
      </c>
      <c r="B10">
        <v>2016</v>
      </c>
      <c r="C10" s="189">
        <v>42395</v>
      </c>
      <c r="D10">
        <v>301</v>
      </c>
      <c r="E10">
        <v>38</v>
      </c>
      <c r="F10">
        <v>32</v>
      </c>
      <c r="G10">
        <v>282</v>
      </c>
      <c r="H10">
        <v>263</v>
      </c>
      <c r="I10">
        <v>78553</v>
      </c>
      <c r="J10">
        <v>84</v>
      </c>
      <c r="K10">
        <v>80</v>
      </c>
      <c r="L10">
        <v>205</v>
      </c>
      <c r="M10">
        <v>153</v>
      </c>
      <c r="N10">
        <v>2.4404761904800001</v>
      </c>
      <c r="O10">
        <v>39.8104265403</v>
      </c>
      <c r="P10">
        <v>114.580487805</v>
      </c>
      <c r="Q10">
        <v>7.6190476190499998</v>
      </c>
      <c r="R10">
        <v>23.174603174600001</v>
      </c>
    </row>
    <row r="11" spans="1:18">
      <c r="A11" t="s">
        <v>57</v>
      </c>
      <c r="B11">
        <v>2016</v>
      </c>
      <c r="C11" s="189">
        <v>42388</v>
      </c>
      <c r="D11">
        <v>113</v>
      </c>
      <c r="E11">
        <v>29</v>
      </c>
      <c r="F11">
        <v>34</v>
      </c>
      <c r="G11">
        <v>242</v>
      </c>
      <c r="H11">
        <v>237</v>
      </c>
      <c r="I11">
        <v>62864</v>
      </c>
      <c r="J11">
        <v>62</v>
      </c>
      <c r="K11">
        <v>56</v>
      </c>
      <c r="L11">
        <v>148</v>
      </c>
      <c r="M11">
        <v>88</v>
      </c>
      <c r="N11">
        <v>2.3870967741900002</v>
      </c>
      <c r="O11">
        <v>33.513513513500001</v>
      </c>
      <c r="P11">
        <v>108</v>
      </c>
      <c r="Q11">
        <v>5.1282051282100003</v>
      </c>
      <c r="R11">
        <v>16.923076923099998</v>
      </c>
    </row>
    <row r="12" spans="1:18">
      <c r="A12" t="s">
        <v>57</v>
      </c>
      <c r="B12">
        <v>2016</v>
      </c>
      <c r="C12" s="189">
        <v>42381</v>
      </c>
      <c r="D12">
        <v>101</v>
      </c>
      <c r="E12">
        <v>24</v>
      </c>
      <c r="F12">
        <v>15</v>
      </c>
      <c r="G12">
        <v>186</v>
      </c>
      <c r="H12">
        <v>189</v>
      </c>
      <c r="I12">
        <v>93471</v>
      </c>
      <c r="J12">
        <v>48</v>
      </c>
      <c r="K12">
        <v>47</v>
      </c>
      <c r="L12">
        <v>116</v>
      </c>
      <c r="M12">
        <v>84</v>
      </c>
      <c r="N12">
        <v>2.4166666666699999</v>
      </c>
      <c r="O12">
        <v>24.742268041199999</v>
      </c>
      <c r="P12">
        <v>116.49137931</v>
      </c>
      <c r="Q12">
        <v>3.5502958579900001</v>
      </c>
      <c r="R12">
        <v>22.4852071006</v>
      </c>
    </row>
    <row r="13" spans="1:18">
      <c r="A13" t="s">
        <v>57</v>
      </c>
      <c r="B13">
        <v>2016</v>
      </c>
      <c r="C13" s="189">
        <v>42374</v>
      </c>
      <c r="D13">
        <v>121</v>
      </c>
      <c r="E13">
        <v>26</v>
      </c>
      <c r="F13">
        <v>22</v>
      </c>
      <c r="G13">
        <v>211</v>
      </c>
      <c r="H13">
        <v>156</v>
      </c>
      <c r="I13">
        <v>100093</v>
      </c>
      <c r="J13">
        <v>51</v>
      </c>
      <c r="K13">
        <v>50</v>
      </c>
      <c r="L13">
        <v>99</v>
      </c>
      <c r="M13">
        <v>78</v>
      </c>
      <c r="N13">
        <v>1.9411764705900001</v>
      </c>
      <c r="O13">
        <v>25.757575757600002</v>
      </c>
      <c r="P13">
        <v>129.85858585899999</v>
      </c>
      <c r="Q13">
        <v>12.426035503</v>
      </c>
      <c r="R13">
        <v>23.076923076900002</v>
      </c>
    </row>
    <row r="14" spans="1:18">
      <c r="A14" t="s">
        <v>14</v>
      </c>
      <c r="B14">
        <v>2016</v>
      </c>
      <c r="C14" s="189">
        <v>42395</v>
      </c>
      <c r="D14">
        <v>51</v>
      </c>
      <c r="E14">
        <v>39</v>
      </c>
      <c r="F14">
        <v>36</v>
      </c>
      <c r="G14">
        <v>151</v>
      </c>
      <c r="H14">
        <v>119</v>
      </c>
      <c r="I14">
        <v>64085</v>
      </c>
      <c r="J14">
        <v>40</v>
      </c>
      <c r="K14">
        <v>24</v>
      </c>
      <c r="L14">
        <v>104</v>
      </c>
      <c r="M14">
        <v>39</v>
      </c>
      <c r="N14">
        <v>2.6</v>
      </c>
      <c r="O14">
        <v>26.666666666699999</v>
      </c>
      <c r="P14">
        <v>179.625</v>
      </c>
      <c r="Q14">
        <v>8.6956521739100001</v>
      </c>
      <c r="R14">
        <v>13.768115942</v>
      </c>
    </row>
    <row r="15" spans="1:18">
      <c r="A15" t="s">
        <v>14</v>
      </c>
      <c r="B15">
        <v>2016</v>
      </c>
      <c r="C15" s="189">
        <v>42388</v>
      </c>
      <c r="D15">
        <v>43</v>
      </c>
      <c r="E15">
        <v>29</v>
      </c>
      <c r="F15">
        <v>31</v>
      </c>
      <c r="G15">
        <v>116</v>
      </c>
      <c r="H15">
        <v>112</v>
      </c>
      <c r="I15">
        <v>35091</v>
      </c>
      <c r="J15">
        <v>31</v>
      </c>
      <c r="K15">
        <v>22</v>
      </c>
      <c r="L15">
        <v>69</v>
      </c>
      <c r="M15">
        <v>31</v>
      </c>
      <c r="N15">
        <v>2.22580645161</v>
      </c>
      <c r="O15">
        <v>23.6641221374</v>
      </c>
      <c r="P15">
        <v>179.434782609</v>
      </c>
      <c r="Q15">
        <v>13.392857142900001</v>
      </c>
      <c r="R15">
        <v>21.428571428600002</v>
      </c>
    </row>
    <row r="16" spans="1:18">
      <c r="A16" t="s">
        <v>14</v>
      </c>
      <c r="B16">
        <v>2016</v>
      </c>
      <c r="C16" s="189">
        <v>42381</v>
      </c>
      <c r="D16">
        <v>29</v>
      </c>
      <c r="E16">
        <v>37</v>
      </c>
      <c r="F16">
        <v>18</v>
      </c>
      <c r="G16">
        <v>144</v>
      </c>
      <c r="H16">
        <v>148</v>
      </c>
      <c r="I16">
        <v>59333</v>
      </c>
      <c r="J16">
        <v>35</v>
      </c>
      <c r="K16">
        <v>27</v>
      </c>
      <c r="L16">
        <v>67</v>
      </c>
      <c r="M16">
        <v>35</v>
      </c>
      <c r="N16">
        <v>1.9142857142900001</v>
      </c>
      <c r="O16">
        <v>24.822695035500001</v>
      </c>
      <c r="P16">
        <v>196.76119403000001</v>
      </c>
      <c r="Q16">
        <v>2.5316455696200002</v>
      </c>
      <c r="R16">
        <v>12.658227848099999</v>
      </c>
    </row>
    <row r="17" spans="1:18">
      <c r="A17" t="s">
        <v>14</v>
      </c>
      <c r="B17">
        <v>2016</v>
      </c>
      <c r="C17" s="189">
        <v>42374</v>
      </c>
      <c r="D17">
        <v>38</v>
      </c>
      <c r="E17">
        <v>25</v>
      </c>
      <c r="F17">
        <v>17</v>
      </c>
      <c r="G17">
        <v>123</v>
      </c>
      <c r="H17">
        <v>81</v>
      </c>
      <c r="I17">
        <v>58949</v>
      </c>
      <c r="J17">
        <v>32</v>
      </c>
      <c r="K17">
        <v>23</v>
      </c>
      <c r="L17">
        <v>68</v>
      </c>
      <c r="M17">
        <v>35</v>
      </c>
      <c r="N17">
        <v>2.125</v>
      </c>
      <c r="O17">
        <v>21.917808219200001</v>
      </c>
      <c r="P17">
        <v>176.77941176499999</v>
      </c>
      <c r="Q17">
        <v>7.69230769231</v>
      </c>
      <c r="R17">
        <v>15.3846153846</v>
      </c>
    </row>
    <row r="18" spans="1:18">
      <c r="A18" t="s">
        <v>11</v>
      </c>
      <c r="B18">
        <v>2016</v>
      </c>
      <c r="C18" s="189">
        <v>42395</v>
      </c>
      <c r="D18">
        <v>202</v>
      </c>
      <c r="E18">
        <v>22</v>
      </c>
      <c r="F18">
        <v>31</v>
      </c>
      <c r="G18">
        <v>182</v>
      </c>
      <c r="H18">
        <v>476</v>
      </c>
      <c r="I18">
        <v>42402</v>
      </c>
      <c r="J18">
        <v>207</v>
      </c>
      <c r="K18">
        <v>58</v>
      </c>
      <c r="L18">
        <v>676</v>
      </c>
      <c r="M18">
        <v>51</v>
      </c>
      <c r="N18">
        <v>3.2657004830899998</v>
      </c>
      <c r="O18">
        <v>72.1254355401</v>
      </c>
      <c r="P18">
        <v>18.491124260399999</v>
      </c>
      <c r="Q18">
        <v>0.431654676259</v>
      </c>
      <c r="R18">
        <v>1.1510791366899999</v>
      </c>
    </row>
    <row r="19" spans="1:18">
      <c r="A19" t="s">
        <v>11</v>
      </c>
      <c r="B19">
        <v>2016</v>
      </c>
      <c r="C19" s="189">
        <v>42388</v>
      </c>
      <c r="D19">
        <v>199</v>
      </c>
      <c r="E19">
        <v>15</v>
      </c>
      <c r="F19">
        <v>35</v>
      </c>
      <c r="G19">
        <v>211</v>
      </c>
      <c r="H19">
        <v>538</v>
      </c>
      <c r="I19">
        <v>45505</v>
      </c>
      <c r="J19">
        <v>168</v>
      </c>
      <c r="K19">
        <v>76</v>
      </c>
      <c r="L19">
        <v>535</v>
      </c>
      <c r="M19">
        <v>73</v>
      </c>
      <c r="N19">
        <v>3.1845238095199999</v>
      </c>
      <c r="O19">
        <v>66.932270916299998</v>
      </c>
      <c r="P19">
        <v>27.261682242999999</v>
      </c>
      <c r="Q19">
        <v>0.183486238532</v>
      </c>
      <c r="R19">
        <v>1.2844036697200001</v>
      </c>
    </row>
    <row r="20" spans="1:18">
      <c r="A20" t="s">
        <v>11</v>
      </c>
      <c r="B20">
        <v>2016</v>
      </c>
      <c r="C20" s="189">
        <v>42381</v>
      </c>
      <c r="D20">
        <v>182</v>
      </c>
      <c r="E20">
        <v>15</v>
      </c>
      <c r="F20">
        <v>12</v>
      </c>
      <c r="G20">
        <v>79</v>
      </c>
      <c r="H20">
        <v>89</v>
      </c>
      <c r="I20">
        <v>61153</v>
      </c>
      <c r="J20">
        <v>52</v>
      </c>
      <c r="K20">
        <v>46</v>
      </c>
      <c r="L20">
        <v>128</v>
      </c>
      <c r="M20">
        <v>60</v>
      </c>
      <c r="N20">
        <v>2.46153846154</v>
      </c>
      <c r="O20">
        <v>33.548387096799999</v>
      </c>
      <c r="P20">
        <v>158.9765625</v>
      </c>
      <c r="Q20">
        <v>5.7324840764299996</v>
      </c>
      <c r="R20">
        <v>12.101910827999999</v>
      </c>
    </row>
    <row r="21" spans="1:18">
      <c r="A21" t="s">
        <v>11</v>
      </c>
      <c r="B21">
        <v>2016</v>
      </c>
      <c r="C21" s="189">
        <v>42374</v>
      </c>
      <c r="D21">
        <v>360</v>
      </c>
      <c r="E21">
        <v>32</v>
      </c>
      <c r="F21">
        <v>27</v>
      </c>
      <c r="G21">
        <v>166</v>
      </c>
      <c r="H21">
        <v>75</v>
      </c>
      <c r="I21">
        <v>55903</v>
      </c>
      <c r="J21">
        <v>43</v>
      </c>
      <c r="K21">
        <v>42</v>
      </c>
      <c r="L21">
        <v>111</v>
      </c>
      <c r="M21">
        <v>58</v>
      </c>
      <c r="N21">
        <v>2.5813953488400001</v>
      </c>
      <c r="O21">
        <v>36.1344537815</v>
      </c>
      <c r="P21">
        <v>142.603603604</v>
      </c>
      <c r="Q21">
        <v>6.9930069930099998</v>
      </c>
      <c r="R21">
        <v>11.188811188800001</v>
      </c>
    </row>
    <row r="22" spans="1:18">
      <c r="A22" t="s">
        <v>19</v>
      </c>
      <c r="B22">
        <v>2016</v>
      </c>
      <c r="C22" s="189">
        <v>42395</v>
      </c>
      <c r="D22">
        <v>28</v>
      </c>
      <c r="E22">
        <v>11</v>
      </c>
      <c r="F22">
        <v>21</v>
      </c>
      <c r="G22">
        <v>88</v>
      </c>
      <c r="H22">
        <v>211</v>
      </c>
      <c r="I22">
        <v>62516</v>
      </c>
      <c r="J22">
        <v>56</v>
      </c>
      <c r="K22">
        <v>24</v>
      </c>
      <c r="L22">
        <v>164</v>
      </c>
      <c r="M22">
        <v>34</v>
      </c>
      <c r="N22">
        <v>2.9285714285700002</v>
      </c>
      <c r="O22">
        <v>26.1682242991</v>
      </c>
      <c r="P22">
        <v>47.030487804899998</v>
      </c>
      <c r="Q22">
        <v>1.1494252873599999</v>
      </c>
      <c r="R22">
        <v>4.0229885057499999</v>
      </c>
    </row>
    <row r="23" spans="1:18">
      <c r="A23" t="s">
        <v>19</v>
      </c>
      <c r="B23">
        <v>2016</v>
      </c>
      <c r="C23" s="189">
        <v>42388</v>
      </c>
      <c r="D23">
        <v>23</v>
      </c>
      <c r="E23">
        <v>9</v>
      </c>
      <c r="F23">
        <v>6</v>
      </c>
      <c r="G23">
        <v>100</v>
      </c>
      <c r="H23">
        <v>38</v>
      </c>
      <c r="I23">
        <v>49059</v>
      </c>
      <c r="J23">
        <v>157</v>
      </c>
      <c r="K23">
        <v>33</v>
      </c>
      <c r="L23">
        <v>611</v>
      </c>
      <c r="M23">
        <v>54</v>
      </c>
      <c r="N23">
        <v>3.8917197452200001</v>
      </c>
      <c r="O23">
        <v>48.307692307700002</v>
      </c>
      <c r="P23">
        <v>10.620294598999999</v>
      </c>
      <c r="Q23">
        <v>1.8433179723499999</v>
      </c>
      <c r="R23">
        <v>4.30107526882</v>
      </c>
    </row>
    <row r="24" spans="1:18">
      <c r="A24" t="s">
        <v>19</v>
      </c>
      <c r="B24">
        <v>2016</v>
      </c>
      <c r="C24" s="189">
        <v>42381</v>
      </c>
      <c r="D24">
        <v>153</v>
      </c>
      <c r="E24">
        <v>67</v>
      </c>
      <c r="F24">
        <v>87</v>
      </c>
      <c r="G24">
        <v>252</v>
      </c>
      <c r="H24">
        <v>297</v>
      </c>
      <c r="I24">
        <v>79697</v>
      </c>
      <c r="J24">
        <v>214</v>
      </c>
      <c r="K24">
        <v>88</v>
      </c>
      <c r="L24">
        <v>800</v>
      </c>
      <c r="M24">
        <v>143</v>
      </c>
      <c r="N24">
        <v>3.7383177570099999</v>
      </c>
      <c r="O24">
        <v>53.101736972700003</v>
      </c>
      <c r="P24">
        <v>37.24</v>
      </c>
      <c r="Q24">
        <v>0.61199510403900004</v>
      </c>
      <c r="R24">
        <v>1.46878824969</v>
      </c>
    </row>
    <row r="25" spans="1:18">
      <c r="A25" t="s">
        <v>19</v>
      </c>
      <c r="B25">
        <v>2016</v>
      </c>
      <c r="C25" s="189">
        <v>42374</v>
      </c>
      <c r="D25">
        <v>187</v>
      </c>
      <c r="E25">
        <v>62</v>
      </c>
      <c r="F25">
        <v>133</v>
      </c>
      <c r="G25">
        <v>201</v>
      </c>
      <c r="H25">
        <v>312</v>
      </c>
      <c r="I25">
        <v>51263</v>
      </c>
      <c r="J25">
        <v>127</v>
      </c>
      <c r="K25">
        <v>93</v>
      </c>
      <c r="L25">
        <v>490</v>
      </c>
      <c r="M25">
        <v>166</v>
      </c>
      <c r="N25">
        <v>3.8582677165399999</v>
      </c>
      <c r="O25">
        <v>45.035460992899999</v>
      </c>
      <c r="P25">
        <v>45.765306122399998</v>
      </c>
      <c r="Q25">
        <v>0.20325203251999999</v>
      </c>
      <c r="R25">
        <v>0.20325203251999999</v>
      </c>
    </row>
    <row r="26" spans="1:18">
      <c r="A26" t="s">
        <v>13</v>
      </c>
      <c r="B26">
        <v>2016</v>
      </c>
      <c r="C26" s="189">
        <v>42395</v>
      </c>
      <c r="D26">
        <v>19</v>
      </c>
      <c r="E26">
        <v>16</v>
      </c>
      <c r="F26">
        <v>6</v>
      </c>
      <c r="G26">
        <v>91</v>
      </c>
      <c r="H26">
        <v>91</v>
      </c>
      <c r="I26">
        <v>19085</v>
      </c>
      <c r="J26">
        <v>22</v>
      </c>
      <c r="K26">
        <v>12</v>
      </c>
      <c r="L26">
        <v>80</v>
      </c>
      <c r="M26">
        <v>11</v>
      </c>
      <c r="N26">
        <v>3.63636363636</v>
      </c>
      <c r="O26">
        <v>18.181818181800001</v>
      </c>
      <c r="P26">
        <v>34.912500000000001</v>
      </c>
      <c r="Q26">
        <v>0</v>
      </c>
      <c r="R26">
        <v>1.2048192771099999</v>
      </c>
    </row>
    <row r="27" spans="1:18">
      <c r="A27" t="s">
        <v>13</v>
      </c>
      <c r="B27">
        <v>2016</v>
      </c>
      <c r="C27" s="189">
        <v>42388</v>
      </c>
      <c r="D27">
        <v>23</v>
      </c>
      <c r="E27">
        <v>15</v>
      </c>
      <c r="F27">
        <v>12</v>
      </c>
      <c r="G27">
        <v>78</v>
      </c>
      <c r="H27">
        <v>152</v>
      </c>
      <c r="I27">
        <v>20548</v>
      </c>
      <c r="J27">
        <v>16</v>
      </c>
      <c r="K27">
        <v>8</v>
      </c>
      <c r="L27">
        <v>55</v>
      </c>
      <c r="M27">
        <v>11</v>
      </c>
      <c r="N27">
        <v>3.4375</v>
      </c>
      <c r="O27">
        <v>13.223140495899999</v>
      </c>
      <c r="P27">
        <v>29.254545454500001</v>
      </c>
      <c r="Q27">
        <v>0</v>
      </c>
      <c r="R27">
        <v>0</v>
      </c>
    </row>
    <row r="28" spans="1:18">
      <c r="A28" t="s">
        <v>13</v>
      </c>
      <c r="B28">
        <v>2016</v>
      </c>
      <c r="C28" s="189">
        <v>42381</v>
      </c>
      <c r="D28">
        <v>76</v>
      </c>
      <c r="E28">
        <v>36</v>
      </c>
      <c r="F28">
        <v>48</v>
      </c>
      <c r="G28">
        <v>201</v>
      </c>
      <c r="H28">
        <v>176</v>
      </c>
      <c r="I28">
        <v>34178</v>
      </c>
      <c r="J28">
        <v>89</v>
      </c>
      <c r="K28">
        <v>39</v>
      </c>
      <c r="L28">
        <v>329</v>
      </c>
      <c r="M28">
        <v>71</v>
      </c>
      <c r="N28">
        <v>3.6966292134800001</v>
      </c>
      <c r="O28">
        <v>41.588785046700004</v>
      </c>
      <c r="P28">
        <v>32.072948328300001</v>
      </c>
      <c r="Q28">
        <v>0</v>
      </c>
      <c r="R28">
        <v>0</v>
      </c>
    </row>
    <row r="29" spans="1:18">
      <c r="A29" t="s">
        <v>13</v>
      </c>
      <c r="B29">
        <v>2016</v>
      </c>
      <c r="C29" s="189">
        <v>42374</v>
      </c>
      <c r="D29">
        <v>21</v>
      </c>
      <c r="E29">
        <v>21</v>
      </c>
      <c r="F29">
        <v>10</v>
      </c>
      <c r="G29">
        <v>192</v>
      </c>
      <c r="H29">
        <v>368</v>
      </c>
      <c r="I29">
        <v>21001</v>
      </c>
      <c r="J29">
        <v>58</v>
      </c>
      <c r="K29">
        <v>25</v>
      </c>
      <c r="L29">
        <v>220</v>
      </c>
      <c r="M29">
        <v>7</v>
      </c>
      <c r="N29">
        <v>3.7931034482800001</v>
      </c>
      <c r="O29">
        <v>41.134751772999998</v>
      </c>
      <c r="P29">
        <v>32.1772727273</v>
      </c>
      <c r="Q29">
        <v>0.42735042735000001</v>
      </c>
      <c r="R29">
        <v>1.2820512820500001</v>
      </c>
    </row>
    <row r="30" spans="1:18">
      <c r="A30" t="s">
        <v>12</v>
      </c>
      <c r="B30">
        <v>2016</v>
      </c>
      <c r="C30" s="189">
        <v>42395</v>
      </c>
      <c r="D30">
        <v>22</v>
      </c>
      <c r="E30">
        <v>22</v>
      </c>
      <c r="F30">
        <v>13</v>
      </c>
      <c r="G30">
        <v>149</v>
      </c>
      <c r="H30">
        <v>382</v>
      </c>
      <c r="I30">
        <v>39551</v>
      </c>
      <c r="J30">
        <v>170</v>
      </c>
      <c r="K30">
        <v>37</v>
      </c>
      <c r="L30">
        <v>567</v>
      </c>
      <c r="M30">
        <v>27</v>
      </c>
      <c r="N30">
        <v>3.3352941176500002</v>
      </c>
      <c r="O30">
        <v>48.991354466899999</v>
      </c>
      <c r="P30">
        <v>27.4197530864</v>
      </c>
      <c r="Q30">
        <v>13.965087281800001</v>
      </c>
      <c r="R30">
        <v>14.7132169576</v>
      </c>
    </row>
    <row r="31" spans="1:18">
      <c r="A31" t="s">
        <v>12</v>
      </c>
      <c r="B31">
        <v>2016</v>
      </c>
      <c r="C31" s="189">
        <v>42388</v>
      </c>
      <c r="D31">
        <v>17</v>
      </c>
      <c r="E31">
        <v>9</v>
      </c>
      <c r="F31">
        <v>13</v>
      </c>
      <c r="G31">
        <v>95</v>
      </c>
      <c r="H31">
        <v>661</v>
      </c>
      <c r="I31">
        <v>32584</v>
      </c>
      <c r="J31">
        <v>169</v>
      </c>
      <c r="K31">
        <v>36</v>
      </c>
      <c r="L31">
        <v>534</v>
      </c>
      <c r="M31">
        <v>31</v>
      </c>
      <c r="N31">
        <v>3.1597633136100001</v>
      </c>
      <c r="O31">
        <v>56.5217391304</v>
      </c>
      <c r="P31">
        <v>25.6947565543</v>
      </c>
      <c r="Q31">
        <v>2.3850085178899998</v>
      </c>
      <c r="R31">
        <v>5.4514480408899999</v>
      </c>
    </row>
    <row r="32" spans="1:18">
      <c r="A32" t="s">
        <v>12</v>
      </c>
      <c r="B32">
        <v>2016</v>
      </c>
      <c r="C32" s="189">
        <v>42381</v>
      </c>
      <c r="D32">
        <v>15</v>
      </c>
      <c r="E32">
        <v>15</v>
      </c>
      <c r="F32">
        <v>9</v>
      </c>
      <c r="G32">
        <v>157</v>
      </c>
      <c r="H32">
        <v>1296</v>
      </c>
      <c r="I32">
        <v>40638</v>
      </c>
      <c r="J32">
        <v>160</v>
      </c>
      <c r="K32">
        <v>49</v>
      </c>
      <c r="L32">
        <v>482</v>
      </c>
      <c r="M32">
        <v>32</v>
      </c>
      <c r="N32">
        <v>3.0125000000000002</v>
      </c>
      <c r="O32">
        <v>52.1172638436</v>
      </c>
      <c r="P32">
        <v>30.674273858900001</v>
      </c>
      <c r="Q32">
        <v>0.60483870967700004</v>
      </c>
      <c r="R32">
        <v>1.81451612903</v>
      </c>
    </row>
    <row r="33" spans="1:18">
      <c r="A33" t="s">
        <v>12</v>
      </c>
      <c r="B33">
        <v>2016</v>
      </c>
      <c r="C33" s="189">
        <v>42374</v>
      </c>
      <c r="D33">
        <v>25</v>
      </c>
      <c r="E33">
        <v>42</v>
      </c>
      <c r="F33">
        <v>7</v>
      </c>
      <c r="G33">
        <v>153</v>
      </c>
      <c r="H33">
        <v>555</v>
      </c>
      <c r="I33">
        <v>50695</v>
      </c>
      <c r="J33">
        <v>127</v>
      </c>
      <c r="K33">
        <v>28</v>
      </c>
      <c r="L33">
        <v>380</v>
      </c>
      <c r="M33">
        <v>23</v>
      </c>
      <c r="N33">
        <v>2.9921259842499999</v>
      </c>
      <c r="O33">
        <v>45.848375451300001</v>
      </c>
      <c r="P33">
        <v>57.768421052599997</v>
      </c>
      <c r="Q33">
        <v>2.4752475247499999</v>
      </c>
      <c r="R33">
        <v>2.9702970297000002</v>
      </c>
    </row>
    <row r="34" spans="1:18">
      <c r="A34" t="s">
        <v>20</v>
      </c>
      <c r="B34">
        <v>2016</v>
      </c>
      <c r="C34" s="189">
        <v>42395</v>
      </c>
      <c r="D34">
        <v>41</v>
      </c>
      <c r="E34">
        <v>26</v>
      </c>
      <c r="F34">
        <v>30</v>
      </c>
      <c r="G34">
        <v>73</v>
      </c>
      <c r="H34">
        <v>652</v>
      </c>
      <c r="I34">
        <v>63396</v>
      </c>
      <c r="J34">
        <v>237</v>
      </c>
      <c r="K34">
        <v>217</v>
      </c>
      <c r="L34">
        <v>533</v>
      </c>
      <c r="M34">
        <v>446</v>
      </c>
      <c r="N34">
        <v>2.2489451476800002</v>
      </c>
      <c r="O34">
        <v>24.790794979099999</v>
      </c>
      <c r="P34">
        <v>16.210131332100001</v>
      </c>
      <c r="Q34">
        <v>0.18587360594800001</v>
      </c>
      <c r="R34">
        <v>0.55762081784399997</v>
      </c>
    </row>
    <row r="35" spans="1:18">
      <c r="A35" t="s">
        <v>20</v>
      </c>
      <c r="B35">
        <v>2016</v>
      </c>
      <c r="C35" s="189">
        <v>42388</v>
      </c>
      <c r="D35">
        <v>10</v>
      </c>
      <c r="E35">
        <v>25</v>
      </c>
      <c r="F35">
        <v>10</v>
      </c>
      <c r="G35">
        <v>55</v>
      </c>
      <c r="H35">
        <v>520</v>
      </c>
      <c r="I35">
        <v>47784</v>
      </c>
      <c r="J35">
        <v>155</v>
      </c>
      <c r="K35">
        <v>144</v>
      </c>
      <c r="L35">
        <v>480</v>
      </c>
      <c r="M35">
        <v>409</v>
      </c>
      <c r="N35">
        <v>3.0967741935499999</v>
      </c>
      <c r="O35">
        <v>17.775229357800001</v>
      </c>
      <c r="P35">
        <v>15.141666666700001</v>
      </c>
      <c r="Q35">
        <v>0.40983606557399999</v>
      </c>
      <c r="R35">
        <v>1.2295081967199999</v>
      </c>
    </row>
    <row r="36" spans="1:18">
      <c r="A36" t="s">
        <v>20</v>
      </c>
      <c r="B36">
        <v>2016</v>
      </c>
      <c r="C36" s="189">
        <v>42381</v>
      </c>
      <c r="D36">
        <v>28</v>
      </c>
      <c r="E36">
        <v>22</v>
      </c>
      <c r="F36">
        <v>10</v>
      </c>
      <c r="G36">
        <v>155</v>
      </c>
      <c r="H36">
        <v>414</v>
      </c>
      <c r="I36">
        <v>55786</v>
      </c>
      <c r="J36">
        <v>178</v>
      </c>
      <c r="K36">
        <v>130</v>
      </c>
      <c r="L36">
        <v>486</v>
      </c>
      <c r="M36">
        <v>249</v>
      </c>
      <c r="N36">
        <v>2.7303370786499999</v>
      </c>
      <c r="O36">
        <v>20.916568742700001</v>
      </c>
      <c r="P36">
        <v>14.7633744856</v>
      </c>
      <c r="Q36">
        <v>1.39442231076</v>
      </c>
      <c r="R36">
        <v>1.7928286852599999</v>
      </c>
    </row>
    <row r="37" spans="1:18">
      <c r="A37" t="s">
        <v>20</v>
      </c>
      <c r="B37">
        <v>2016</v>
      </c>
      <c r="C37" s="189">
        <v>42374</v>
      </c>
      <c r="D37">
        <v>23</v>
      </c>
      <c r="E37">
        <v>14</v>
      </c>
      <c r="F37">
        <v>6</v>
      </c>
      <c r="G37">
        <v>107</v>
      </c>
      <c r="H37">
        <v>532</v>
      </c>
      <c r="I37">
        <v>48559</v>
      </c>
      <c r="J37">
        <v>126</v>
      </c>
      <c r="K37">
        <v>105</v>
      </c>
      <c r="L37">
        <v>334</v>
      </c>
      <c r="M37">
        <v>177</v>
      </c>
      <c r="N37">
        <v>2.6507936507899998</v>
      </c>
      <c r="O37">
        <v>15.4034229829</v>
      </c>
      <c r="P37">
        <v>16.110778443099999</v>
      </c>
      <c r="Q37">
        <v>0.28818443803999999</v>
      </c>
      <c r="R37">
        <v>1.7291066282400001</v>
      </c>
    </row>
    <row r="38" spans="1:18">
      <c r="A38" t="s">
        <v>16</v>
      </c>
      <c r="B38">
        <v>2016</v>
      </c>
      <c r="C38" s="189">
        <v>42395</v>
      </c>
      <c r="D38">
        <v>2</v>
      </c>
      <c r="E38">
        <v>0</v>
      </c>
      <c r="F38">
        <v>1</v>
      </c>
      <c r="G38">
        <v>7</v>
      </c>
      <c r="H38">
        <v>4</v>
      </c>
      <c r="I38">
        <v>5138</v>
      </c>
      <c r="J38">
        <v>3</v>
      </c>
      <c r="K38">
        <v>0</v>
      </c>
      <c r="L38">
        <v>3</v>
      </c>
      <c r="M38">
        <v>0</v>
      </c>
      <c r="N38">
        <v>1</v>
      </c>
      <c r="O38">
        <v>5.1724137930999996</v>
      </c>
      <c r="P38">
        <v>15</v>
      </c>
      <c r="Q38">
        <v>0</v>
      </c>
      <c r="R38">
        <v>0</v>
      </c>
    </row>
    <row r="39" spans="1:18">
      <c r="A39" t="s">
        <v>16</v>
      </c>
      <c r="B39">
        <v>2016</v>
      </c>
      <c r="C39" s="189">
        <v>42388</v>
      </c>
      <c r="D39">
        <v>3</v>
      </c>
      <c r="E39">
        <v>3</v>
      </c>
      <c r="F39">
        <v>0</v>
      </c>
      <c r="G39">
        <v>11</v>
      </c>
      <c r="H39">
        <v>3</v>
      </c>
      <c r="I39">
        <v>4719</v>
      </c>
      <c r="J39">
        <v>1</v>
      </c>
      <c r="K39">
        <v>0</v>
      </c>
      <c r="L39">
        <v>4</v>
      </c>
      <c r="M39">
        <v>0</v>
      </c>
      <c r="N39">
        <v>4</v>
      </c>
      <c r="O39">
        <v>2</v>
      </c>
      <c r="P39">
        <v>30.25</v>
      </c>
      <c r="Q39">
        <v>0</v>
      </c>
      <c r="R39">
        <v>0</v>
      </c>
    </row>
    <row r="40" spans="1:18">
      <c r="A40" t="s">
        <v>16</v>
      </c>
      <c r="B40">
        <v>2016</v>
      </c>
      <c r="C40" s="189">
        <v>42381</v>
      </c>
      <c r="D40">
        <v>28</v>
      </c>
      <c r="E40">
        <v>21</v>
      </c>
      <c r="F40">
        <v>0</v>
      </c>
      <c r="G40">
        <v>48</v>
      </c>
      <c r="H40">
        <v>3</v>
      </c>
      <c r="I40">
        <v>4090</v>
      </c>
      <c r="J40">
        <v>3</v>
      </c>
      <c r="K40">
        <v>1</v>
      </c>
      <c r="L40">
        <v>3</v>
      </c>
      <c r="M40">
        <v>1</v>
      </c>
      <c r="N40">
        <v>1</v>
      </c>
      <c r="O40">
        <v>6.1224489795899997</v>
      </c>
      <c r="P40">
        <v>21.333333333300001</v>
      </c>
      <c r="Q40">
        <v>0</v>
      </c>
      <c r="R40">
        <v>0</v>
      </c>
    </row>
    <row r="41" spans="1:18">
      <c r="A41" t="s">
        <v>16</v>
      </c>
      <c r="B41">
        <v>2016</v>
      </c>
      <c r="C41" s="189">
        <v>42374</v>
      </c>
      <c r="D41">
        <v>1</v>
      </c>
      <c r="E41">
        <v>1</v>
      </c>
      <c r="F41">
        <v>0</v>
      </c>
      <c r="G41">
        <v>19</v>
      </c>
      <c r="H41">
        <v>3</v>
      </c>
      <c r="I41">
        <v>3212</v>
      </c>
      <c r="J41">
        <v>2</v>
      </c>
      <c r="K41">
        <v>0</v>
      </c>
      <c r="L41">
        <v>3</v>
      </c>
      <c r="M41">
        <v>0</v>
      </c>
      <c r="N41">
        <v>1.5</v>
      </c>
      <c r="O41">
        <v>6.0606060606099996</v>
      </c>
      <c r="P41">
        <v>24</v>
      </c>
      <c r="Q41">
        <v>0</v>
      </c>
      <c r="R41">
        <v>0</v>
      </c>
    </row>
    <row r="42" spans="1:18">
      <c r="A42" t="s">
        <v>17</v>
      </c>
      <c r="B42">
        <v>2016</v>
      </c>
      <c r="C42" s="189">
        <v>42395</v>
      </c>
      <c r="D42">
        <v>4</v>
      </c>
      <c r="E42">
        <v>2</v>
      </c>
      <c r="F42">
        <v>0</v>
      </c>
      <c r="G42">
        <v>5</v>
      </c>
      <c r="H42">
        <v>0</v>
      </c>
      <c r="I42">
        <v>5516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>
      <c r="A43" t="s">
        <v>17</v>
      </c>
      <c r="B43">
        <v>2016</v>
      </c>
      <c r="C43" s="189">
        <v>42388</v>
      </c>
      <c r="D43">
        <v>5</v>
      </c>
      <c r="E43">
        <v>1</v>
      </c>
      <c r="F43">
        <v>0</v>
      </c>
      <c r="G43">
        <v>4</v>
      </c>
      <c r="H43">
        <v>0</v>
      </c>
      <c r="I43">
        <v>4798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>
      <c r="A44" t="s">
        <v>17</v>
      </c>
      <c r="B44">
        <v>2016</v>
      </c>
      <c r="C44" s="189">
        <v>42381</v>
      </c>
      <c r="D44">
        <v>11</v>
      </c>
      <c r="E44">
        <v>5</v>
      </c>
      <c r="F44">
        <v>1</v>
      </c>
      <c r="G44">
        <v>15</v>
      </c>
      <c r="H44">
        <v>1</v>
      </c>
      <c r="I44">
        <v>4173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>
      <c r="A45" t="s">
        <v>17</v>
      </c>
      <c r="B45">
        <v>2016</v>
      </c>
      <c r="C45" s="189">
        <v>42374</v>
      </c>
      <c r="D45">
        <v>16</v>
      </c>
      <c r="E45">
        <v>6</v>
      </c>
      <c r="F45">
        <v>0</v>
      </c>
      <c r="G45">
        <v>12</v>
      </c>
      <c r="H45">
        <v>0</v>
      </c>
      <c r="I45">
        <v>3658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>
      <c r="A46" t="s">
        <v>18</v>
      </c>
      <c r="B46">
        <v>2016</v>
      </c>
      <c r="C46" s="189">
        <v>42395</v>
      </c>
      <c r="D46">
        <v>70</v>
      </c>
      <c r="E46">
        <v>1</v>
      </c>
      <c r="F46">
        <v>0</v>
      </c>
      <c r="G46">
        <v>5</v>
      </c>
      <c r="H46">
        <v>0</v>
      </c>
      <c r="I46">
        <v>781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>
      <c r="A47" t="s">
        <v>18</v>
      </c>
      <c r="B47">
        <v>2016</v>
      </c>
      <c r="C47" s="189">
        <v>42388</v>
      </c>
      <c r="D47">
        <v>70</v>
      </c>
      <c r="E47">
        <v>2</v>
      </c>
      <c r="F47">
        <v>0</v>
      </c>
      <c r="G47">
        <v>4</v>
      </c>
      <c r="H47">
        <v>0</v>
      </c>
      <c r="I47">
        <v>7627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>
      <c r="A48" t="s">
        <v>18</v>
      </c>
      <c r="B48">
        <v>2016</v>
      </c>
      <c r="C48" s="189">
        <v>42381</v>
      </c>
      <c r="D48">
        <v>106</v>
      </c>
      <c r="E48">
        <v>2</v>
      </c>
      <c r="F48">
        <v>0</v>
      </c>
      <c r="G48">
        <v>12</v>
      </c>
      <c r="H48">
        <v>0</v>
      </c>
      <c r="I48">
        <v>192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>
      <c r="A49" t="s">
        <v>18</v>
      </c>
      <c r="B49">
        <v>2016</v>
      </c>
      <c r="C49" s="189">
        <v>42374</v>
      </c>
      <c r="D49">
        <v>112</v>
      </c>
      <c r="E49">
        <v>2</v>
      </c>
      <c r="F49">
        <v>0</v>
      </c>
      <c r="G49">
        <v>4</v>
      </c>
      <c r="H49">
        <v>0</v>
      </c>
      <c r="I49">
        <v>4239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3395"/>
  <sheetViews>
    <sheetView showGridLines="0" zoomScale="70" zoomScaleNormal="70" workbookViewId="0">
      <selection activeCell="B30" sqref="B30"/>
    </sheetView>
  </sheetViews>
  <sheetFormatPr defaultRowHeight="15"/>
  <cols>
    <col min="4" max="7" width="9.140625" style="34"/>
    <col min="10" max="17" width="9.140625" style="34"/>
    <col min="296" max="296" width="14.85546875" bestFit="1" customWidth="1"/>
    <col min="405" max="405" width="14.85546875" bestFit="1" customWidth="1"/>
    <col min="537" max="537" width="14.85546875" bestFit="1" customWidth="1"/>
    <col min="1012" max="1012" width="5.7109375" customWidth="1"/>
    <col min="1013" max="1017" width="20" customWidth="1"/>
    <col min="1018" max="1354" width="10.28515625" customWidth="1"/>
    <col min="1355" max="1355" width="11.85546875" customWidth="1"/>
    <col min="1356" max="1367" width="13.42578125" customWidth="1"/>
    <col min="1368" max="1368" width="13.5703125" customWidth="1"/>
    <col min="1369" max="1369" width="12.140625" customWidth="1"/>
    <col min="1370" max="1370" width="15.7109375" customWidth="1"/>
    <col min="1371" max="1372" width="11.5703125" customWidth="1"/>
    <col min="1373" max="1374" width="13.28515625" customWidth="1"/>
    <col min="1375" max="1375" width="16.7109375" customWidth="1"/>
    <col min="1376" max="1376" width="12.7109375" customWidth="1"/>
    <col min="1377" max="1377" width="14.85546875" customWidth="1"/>
    <col min="1378" max="1379" width="14.42578125" customWidth="1"/>
    <col min="1380" max="1380" width="14.85546875" customWidth="1"/>
  </cols>
  <sheetData>
    <row r="1" spans="1:18" ht="15.75" thickBot="1">
      <c r="A1" s="34"/>
      <c r="B1" s="34"/>
      <c r="C1" s="34"/>
      <c r="H1" s="34"/>
      <c r="I1" s="34"/>
      <c r="R1" s="34"/>
    </row>
    <row r="2" spans="1:18" ht="27" thickBot="1">
      <c r="A2" s="35"/>
      <c r="B2" s="107"/>
      <c r="C2" s="108"/>
      <c r="D2" s="108"/>
      <c r="E2" s="108"/>
      <c r="F2" s="108"/>
      <c r="G2" s="108"/>
      <c r="H2" s="108"/>
      <c r="I2" s="109"/>
      <c r="J2" s="109"/>
      <c r="K2" s="109"/>
      <c r="L2" s="109"/>
      <c r="M2" s="109"/>
      <c r="N2" s="109"/>
      <c r="O2" s="109"/>
      <c r="P2" s="109"/>
      <c r="Q2" s="109"/>
      <c r="R2" s="109"/>
    </row>
    <row r="3" spans="1:18">
      <c r="A3" s="34"/>
      <c r="B3" s="34"/>
      <c r="C3" s="34"/>
      <c r="H3" s="34"/>
      <c r="I3" s="34"/>
      <c r="R3" s="34"/>
    </row>
    <row r="4" spans="1:18">
      <c r="A4" s="34"/>
      <c r="B4" s="34"/>
      <c r="C4" s="34"/>
      <c r="H4" s="34"/>
      <c r="I4" s="34"/>
      <c r="R4" s="34"/>
    </row>
    <row r="5" spans="1:18" ht="15.75" thickBot="1">
      <c r="A5" s="34"/>
      <c r="B5" s="34"/>
      <c r="C5" s="34"/>
      <c r="H5" s="34"/>
      <c r="I5" s="34"/>
      <c r="R5" s="34"/>
    </row>
    <row r="6" spans="1:18" ht="24" thickBot="1">
      <c r="A6" s="34"/>
      <c r="B6" s="36"/>
      <c r="C6" s="110" t="s">
        <v>0</v>
      </c>
      <c r="D6" s="111"/>
      <c r="E6" s="111"/>
      <c r="F6" s="111"/>
      <c r="G6" s="111"/>
      <c r="H6" s="111"/>
      <c r="I6" s="110" t="s">
        <v>1</v>
      </c>
      <c r="J6" s="111"/>
      <c r="K6" s="111"/>
      <c r="L6" s="111"/>
      <c r="M6" s="111"/>
      <c r="N6" s="111"/>
      <c r="O6" s="111"/>
      <c r="P6" s="111"/>
      <c r="Q6" s="111"/>
      <c r="R6" s="112"/>
    </row>
    <row r="7" spans="1:18" ht="48.75" customHeight="1" thickBot="1">
      <c r="A7" s="34"/>
      <c r="B7" s="37"/>
      <c r="C7" s="83" t="s">
        <v>68</v>
      </c>
      <c r="D7" s="49" t="s">
        <v>2</v>
      </c>
      <c r="E7" s="49" t="s">
        <v>69</v>
      </c>
      <c r="F7" s="49" t="s">
        <v>70</v>
      </c>
      <c r="G7" s="49" t="s">
        <v>71</v>
      </c>
      <c r="H7" s="49" t="s">
        <v>4</v>
      </c>
      <c r="I7" s="49" t="s">
        <v>5</v>
      </c>
      <c r="J7" s="49" t="s">
        <v>59</v>
      </c>
      <c r="K7" s="49" t="s">
        <v>6</v>
      </c>
      <c r="L7" s="49" t="s">
        <v>60</v>
      </c>
      <c r="M7" s="49" t="s">
        <v>7</v>
      </c>
      <c r="N7" s="49" t="s">
        <v>8</v>
      </c>
      <c r="O7" s="49" t="s">
        <v>72</v>
      </c>
      <c r="P7" s="49" t="s">
        <v>9</v>
      </c>
      <c r="Q7" s="49" t="s">
        <v>10</v>
      </c>
      <c r="R7" s="49" t="s">
        <v>58</v>
      </c>
    </row>
    <row r="8" spans="1:18">
      <c r="A8" s="34"/>
      <c r="B8" s="23" t="s">
        <v>61</v>
      </c>
      <c r="C8" s="40"/>
      <c r="D8" s="41"/>
      <c r="E8" s="41"/>
      <c r="F8" s="41"/>
      <c r="G8" s="41"/>
      <c r="H8" s="41"/>
      <c r="I8" s="40"/>
      <c r="J8" s="41"/>
      <c r="K8" s="41"/>
      <c r="L8" s="41"/>
      <c r="M8" s="41"/>
      <c r="N8" s="41"/>
      <c r="O8" s="41"/>
      <c r="P8" s="41"/>
      <c r="Q8" s="41"/>
      <c r="R8" s="42"/>
    </row>
    <row r="9" spans="1:18" ht="15.75" thickBot="1">
      <c r="A9" s="34"/>
      <c r="B9" s="24">
        <v>42395</v>
      </c>
      <c r="C9" s="45">
        <v>763</v>
      </c>
      <c r="D9" s="33">
        <v>179</v>
      </c>
      <c r="E9" s="33">
        <v>174</v>
      </c>
      <c r="F9" s="33">
        <v>1049</v>
      </c>
      <c r="G9" s="33">
        <v>2209</v>
      </c>
      <c r="H9" s="21">
        <v>399882</v>
      </c>
      <c r="I9" s="28">
        <v>824</v>
      </c>
      <c r="J9" s="29">
        <v>457</v>
      </c>
      <c r="K9" s="29">
        <v>2344</v>
      </c>
      <c r="L9" s="29">
        <v>771</v>
      </c>
      <c r="M9" s="29">
        <v>2.8446601941699998</v>
      </c>
      <c r="N9" s="29">
        <v>34.162520729699999</v>
      </c>
      <c r="O9" s="29">
        <v>40.643344709899999</v>
      </c>
      <c r="P9" s="29">
        <v>5.5797101449299999</v>
      </c>
      <c r="Q9" s="29">
        <v>8.2971014492799995</v>
      </c>
      <c r="R9" s="32">
        <f t="shared" ref="R9:R31" si="0">(((I9+J9)+(K9+L9))/2)*O9*K9</f>
        <v>209399064.00001231</v>
      </c>
    </row>
    <row r="10" spans="1:18">
      <c r="A10" s="34"/>
      <c r="B10" s="22" t="s">
        <v>61</v>
      </c>
      <c r="C10" s="16"/>
      <c r="D10" s="47"/>
      <c r="E10" s="47"/>
      <c r="F10" s="47"/>
      <c r="G10" s="47"/>
      <c r="H10" s="47"/>
      <c r="I10" s="26"/>
      <c r="J10" s="18"/>
      <c r="K10" s="18"/>
      <c r="L10" s="18"/>
      <c r="M10" s="18"/>
      <c r="N10" s="18"/>
      <c r="O10" s="18"/>
      <c r="P10" s="18"/>
      <c r="Q10" s="18"/>
      <c r="R10" s="31">
        <f t="shared" si="0"/>
        <v>0</v>
      </c>
    </row>
    <row r="11" spans="1:18" ht="15.75" thickBot="1">
      <c r="A11" s="34"/>
      <c r="B11" s="20">
        <v>42388</v>
      </c>
      <c r="C11" s="46">
        <v>529</v>
      </c>
      <c r="D11" s="27">
        <v>149</v>
      </c>
      <c r="E11" s="27">
        <v>153</v>
      </c>
      <c r="F11" s="27">
        <v>953</v>
      </c>
      <c r="G11" s="27">
        <v>2293</v>
      </c>
      <c r="H11" s="21">
        <v>316076</v>
      </c>
      <c r="I11" s="46">
        <v>763</v>
      </c>
      <c r="J11" s="27">
        <v>378</v>
      </c>
      <c r="K11" s="27">
        <v>2442</v>
      </c>
      <c r="L11" s="27">
        <v>700</v>
      </c>
      <c r="M11" s="27">
        <v>3.2005242464000001</v>
      </c>
      <c r="N11" s="27">
        <v>33.116319444399998</v>
      </c>
      <c r="O11" s="27">
        <v>29.870597870600001</v>
      </c>
      <c r="P11" s="27">
        <v>2.1837349397599999</v>
      </c>
      <c r="Q11" s="27">
        <v>5.0451807228899996</v>
      </c>
      <c r="R11" s="30">
        <f t="shared" si="0"/>
        <v>156209576.00001115</v>
      </c>
    </row>
    <row r="12" spans="1:18">
      <c r="B12" t="s">
        <v>61</v>
      </c>
      <c r="R12">
        <f t="shared" si="0"/>
        <v>0</v>
      </c>
    </row>
    <row r="13" spans="1:18">
      <c r="B13">
        <v>42381</v>
      </c>
      <c r="C13">
        <v>765</v>
      </c>
      <c r="D13" s="34">
        <v>252</v>
      </c>
      <c r="E13" s="34">
        <v>209</v>
      </c>
      <c r="F13" s="34">
        <v>1274</v>
      </c>
      <c r="G13" s="34">
        <v>2638</v>
      </c>
      <c r="H13">
        <v>454481</v>
      </c>
      <c r="I13">
        <v>782</v>
      </c>
      <c r="J13" s="34">
        <v>430</v>
      </c>
      <c r="K13" s="34">
        <v>2420</v>
      </c>
      <c r="L13" s="34">
        <v>682</v>
      </c>
      <c r="M13" s="34">
        <v>3.0946291560099999</v>
      </c>
      <c r="N13" s="34">
        <v>32.815778430500004</v>
      </c>
      <c r="O13" s="34">
        <v>46.707024793400002</v>
      </c>
      <c r="P13" s="34">
        <v>1.2427184466000001</v>
      </c>
      <c r="Q13" s="34">
        <v>3.76699029126</v>
      </c>
      <c r="R13">
        <f t="shared" si="0"/>
        <v>243807867.00006041</v>
      </c>
    </row>
    <row r="14" spans="1:18">
      <c r="B14" t="s">
        <v>61</v>
      </c>
      <c r="R14">
        <f t="shared" si="0"/>
        <v>0</v>
      </c>
    </row>
    <row r="15" spans="1:18">
      <c r="B15">
        <v>42374</v>
      </c>
      <c r="C15">
        <v>938</v>
      </c>
      <c r="D15" s="34">
        <v>236</v>
      </c>
      <c r="E15" s="34">
        <v>235</v>
      </c>
      <c r="F15" s="34">
        <v>1215</v>
      </c>
      <c r="G15" s="34">
        <v>2101</v>
      </c>
      <c r="H15">
        <v>423926</v>
      </c>
      <c r="I15">
        <v>571</v>
      </c>
      <c r="J15" s="34">
        <v>368</v>
      </c>
      <c r="K15" s="34">
        <v>1715</v>
      </c>
      <c r="L15" s="34">
        <v>547</v>
      </c>
      <c r="M15" s="34">
        <v>3.00350262697</v>
      </c>
      <c r="N15" s="34">
        <v>27.203430204899998</v>
      </c>
      <c r="O15" s="34">
        <v>60.123615160299998</v>
      </c>
      <c r="P15" s="34">
        <v>2.6941362916</v>
      </c>
      <c r="Q15" s="34">
        <v>4.8071843634400002</v>
      </c>
      <c r="R15">
        <f t="shared" si="0"/>
        <v>165030755.99986315</v>
      </c>
    </row>
    <row r="16" spans="1:18">
      <c r="B16" t="s">
        <v>15</v>
      </c>
      <c r="R16">
        <f t="shared" si="0"/>
        <v>0</v>
      </c>
    </row>
    <row r="17" spans="2:18">
      <c r="B17">
        <v>42395</v>
      </c>
      <c r="C17">
        <v>23</v>
      </c>
      <c r="D17" s="34">
        <v>2</v>
      </c>
      <c r="E17" s="34">
        <v>4</v>
      </c>
      <c r="F17" s="34">
        <v>16</v>
      </c>
      <c r="G17" s="34">
        <v>11</v>
      </c>
      <c r="H17">
        <v>18859</v>
      </c>
      <c r="I17">
        <v>5</v>
      </c>
      <c r="J17" s="34">
        <v>5</v>
      </c>
      <c r="K17" s="34">
        <v>12</v>
      </c>
      <c r="L17" s="34">
        <v>10</v>
      </c>
      <c r="M17" s="34">
        <v>2.4</v>
      </c>
      <c r="N17" s="34">
        <v>15.1515151515</v>
      </c>
      <c r="O17" s="34">
        <v>488.33333333299998</v>
      </c>
      <c r="P17" s="34">
        <v>0</v>
      </c>
      <c r="Q17" s="34">
        <v>0</v>
      </c>
      <c r="R17">
        <f t="shared" si="0"/>
        <v>93759.999999936001</v>
      </c>
    </row>
    <row r="18" spans="2:18">
      <c r="B18" t="s">
        <v>15</v>
      </c>
      <c r="R18">
        <f t="shared" si="0"/>
        <v>0</v>
      </c>
    </row>
    <row r="19" spans="2:18">
      <c r="B19">
        <v>42388</v>
      </c>
      <c r="C19">
        <v>23</v>
      </c>
      <c r="D19" s="34">
        <v>12</v>
      </c>
      <c r="E19" s="34">
        <v>12</v>
      </c>
      <c r="F19" s="34">
        <v>37</v>
      </c>
      <c r="G19" s="34">
        <v>32</v>
      </c>
      <c r="H19">
        <v>5497</v>
      </c>
      <c r="I19">
        <v>4</v>
      </c>
      <c r="J19" s="34">
        <v>3</v>
      </c>
      <c r="K19" s="34">
        <v>6</v>
      </c>
      <c r="L19" s="34">
        <v>3</v>
      </c>
      <c r="M19" s="34">
        <v>1.5</v>
      </c>
      <c r="N19" s="34">
        <v>13.7931034483</v>
      </c>
      <c r="O19" s="34">
        <v>131</v>
      </c>
      <c r="P19" s="34">
        <v>21.052631578900002</v>
      </c>
      <c r="Q19" s="34">
        <v>21.052631578900002</v>
      </c>
      <c r="R19">
        <f t="shared" si="0"/>
        <v>6288</v>
      </c>
    </row>
    <row r="20" spans="2:18">
      <c r="B20" t="s">
        <v>15</v>
      </c>
      <c r="R20">
        <f t="shared" si="0"/>
        <v>0</v>
      </c>
    </row>
    <row r="21" spans="2:18">
      <c r="B21">
        <v>42381</v>
      </c>
      <c r="C21">
        <v>36</v>
      </c>
      <c r="D21" s="34">
        <v>8</v>
      </c>
      <c r="E21" s="34">
        <v>9</v>
      </c>
      <c r="F21" s="34">
        <v>25</v>
      </c>
      <c r="G21" s="34">
        <v>25</v>
      </c>
      <c r="H21">
        <v>21770</v>
      </c>
      <c r="I21">
        <v>3</v>
      </c>
      <c r="J21" s="34">
        <v>3</v>
      </c>
      <c r="K21" s="34">
        <v>9</v>
      </c>
      <c r="L21" s="34">
        <v>7</v>
      </c>
      <c r="M21" s="34">
        <v>3</v>
      </c>
      <c r="N21" s="34">
        <v>7.1428571428599996</v>
      </c>
      <c r="O21" s="34">
        <v>402</v>
      </c>
      <c r="P21" s="34">
        <v>0</v>
      </c>
      <c r="Q21" s="34">
        <v>0</v>
      </c>
      <c r="R21">
        <f t="shared" si="0"/>
        <v>39798</v>
      </c>
    </row>
    <row r="22" spans="2:18">
      <c r="B22" t="s">
        <v>15</v>
      </c>
      <c r="R22">
        <f t="shared" si="0"/>
        <v>0</v>
      </c>
    </row>
    <row r="23" spans="2:18">
      <c r="B23">
        <v>42374</v>
      </c>
      <c r="C23">
        <v>34</v>
      </c>
      <c r="D23" s="34">
        <v>5</v>
      </c>
      <c r="E23" s="34">
        <v>13</v>
      </c>
      <c r="F23" s="34">
        <v>27</v>
      </c>
      <c r="G23" s="34">
        <v>19</v>
      </c>
      <c r="H23">
        <v>26354</v>
      </c>
      <c r="I23">
        <v>5</v>
      </c>
      <c r="J23" s="34">
        <v>2</v>
      </c>
      <c r="K23" s="34">
        <v>10</v>
      </c>
      <c r="L23" s="34">
        <v>3</v>
      </c>
      <c r="M23" s="34">
        <v>2</v>
      </c>
      <c r="N23" s="34">
        <v>9.2592592592600003</v>
      </c>
      <c r="O23" s="34">
        <v>549.70000000000005</v>
      </c>
      <c r="P23" s="34">
        <v>0</v>
      </c>
      <c r="Q23" s="34">
        <v>0</v>
      </c>
      <c r="R23">
        <f t="shared" si="0"/>
        <v>54970</v>
      </c>
    </row>
    <row r="24" spans="2:18">
      <c r="B24" t="s">
        <v>57</v>
      </c>
      <c r="R24">
        <f t="shared" si="0"/>
        <v>0</v>
      </c>
    </row>
    <row r="25" spans="2:18">
      <c r="B25">
        <v>42395</v>
      </c>
      <c r="C25">
        <v>301</v>
      </c>
      <c r="D25" s="34">
        <v>38</v>
      </c>
      <c r="E25" s="34">
        <v>32</v>
      </c>
      <c r="F25" s="34">
        <v>282</v>
      </c>
      <c r="G25" s="34">
        <v>263</v>
      </c>
      <c r="H25">
        <v>78553</v>
      </c>
      <c r="I25">
        <v>84</v>
      </c>
      <c r="J25" s="34">
        <v>80</v>
      </c>
      <c r="K25" s="34">
        <v>205</v>
      </c>
      <c r="L25" s="34">
        <v>153</v>
      </c>
      <c r="M25" s="34">
        <v>2.4404761904800001</v>
      </c>
      <c r="N25" s="34">
        <v>39.8104265403</v>
      </c>
      <c r="O25" s="34">
        <v>114.580487805</v>
      </c>
      <c r="P25" s="34">
        <v>7.6190476190499998</v>
      </c>
      <c r="Q25" s="34">
        <v>23.174603174600001</v>
      </c>
      <c r="R25">
        <f t="shared" si="0"/>
        <v>6130629.0000065258</v>
      </c>
    </row>
    <row r="26" spans="2:18">
      <c r="B26" t="s">
        <v>57</v>
      </c>
      <c r="R26">
        <f t="shared" si="0"/>
        <v>0</v>
      </c>
    </row>
    <row r="27" spans="2:18">
      <c r="B27">
        <v>42388</v>
      </c>
      <c r="C27">
        <v>113</v>
      </c>
      <c r="D27" s="34">
        <v>29</v>
      </c>
      <c r="E27" s="34">
        <v>34</v>
      </c>
      <c r="F27" s="34">
        <v>242</v>
      </c>
      <c r="G27" s="34">
        <v>237</v>
      </c>
      <c r="H27">
        <v>62864</v>
      </c>
      <c r="I27">
        <v>62</v>
      </c>
      <c r="J27" s="34">
        <v>56</v>
      </c>
      <c r="K27" s="34">
        <v>148</v>
      </c>
      <c r="L27" s="34">
        <v>88</v>
      </c>
      <c r="M27" s="34">
        <v>2.3870967741900002</v>
      </c>
      <c r="N27" s="34">
        <v>33.513513513500001</v>
      </c>
      <c r="O27" s="34">
        <v>108</v>
      </c>
      <c r="P27" s="34">
        <v>5.1282051282100003</v>
      </c>
      <c r="Q27" s="34">
        <v>16.923076923099998</v>
      </c>
      <c r="R27">
        <f t="shared" si="0"/>
        <v>2829168</v>
      </c>
    </row>
    <row r="28" spans="2:18">
      <c r="B28" t="s">
        <v>57</v>
      </c>
      <c r="R28">
        <f t="shared" si="0"/>
        <v>0</v>
      </c>
    </row>
    <row r="29" spans="2:18">
      <c r="B29">
        <v>42381</v>
      </c>
      <c r="C29">
        <v>101</v>
      </c>
      <c r="D29" s="34">
        <v>24</v>
      </c>
      <c r="E29" s="34">
        <v>15</v>
      </c>
      <c r="F29" s="34">
        <v>186</v>
      </c>
      <c r="G29" s="34">
        <v>189</v>
      </c>
      <c r="H29">
        <v>93471</v>
      </c>
      <c r="I29">
        <v>48</v>
      </c>
      <c r="J29" s="34">
        <v>47</v>
      </c>
      <c r="K29" s="34">
        <v>116</v>
      </c>
      <c r="L29" s="34">
        <v>84</v>
      </c>
      <c r="M29" s="34">
        <v>2.4166666666699999</v>
      </c>
      <c r="N29" s="34">
        <v>24.742268041199999</v>
      </c>
      <c r="O29" s="34">
        <v>116.49137931</v>
      </c>
      <c r="P29" s="34">
        <v>3.5502958579900001</v>
      </c>
      <c r="Q29" s="34">
        <v>22.4852071006</v>
      </c>
      <c r="R29">
        <f t="shared" si="0"/>
        <v>1993167.4999941001</v>
      </c>
    </row>
    <row r="30" spans="2:18">
      <c r="B30" t="s">
        <v>57</v>
      </c>
      <c r="R30">
        <f t="shared" si="0"/>
        <v>0</v>
      </c>
    </row>
    <row r="31" spans="2:18">
      <c r="B31">
        <v>42374</v>
      </c>
      <c r="C31">
        <v>121</v>
      </c>
      <c r="D31" s="34">
        <v>26</v>
      </c>
      <c r="E31" s="34">
        <v>22</v>
      </c>
      <c r="F31" s="34">
        <v>211</v>
      </c>
      <c r="G31" s="34">
        <v>156</v>
      </c>
      <c r="H31">
        <v>100093</v>
      </c>
      <c r="I31">
        <v>51</v>
      </c>
      <c r="J31" s="34">
        <v>50</v>
      </c>
      <c r="K31" s="34">
        <v>99</v>
      </c>
      <c r="L31" s="34">
        <v>78</v>
      </c>
      <c r="M31" s="34">
        <v>1.9411764705900001</v>
      </c>
      <c r="N31" s="34">
        <v>25.757575757600002</v>
      </c>
      <c r="O31" s="34">
        <v>129.85858585899999</v>
      </c>
      <c r="P31" s="34">
        <v>12.426035503</v>
      </c>
      <c r="Q31" s="34">
        <v>23.076923076900002</v>
      </c>
      <c r="R31">
        <f t="shared" si="0"/>
        <v>1786984.0000056988</v>
      </c>
    </row>
    <row r="2826" ht="27.75" customHeight="1"/>
    <row r="2827" ht="27.75" customHeight="1"/>
    <row r="2828" ht="27.75" customHeight="1"/>
    <row r="2829" ht="27.75" customHeight="1"/>
    <row r="2830" ht="33" customHeight="1"/>
    <row r="2831" ht="28.5" customHeight="1"/>
    <row r="2832" ht="27.75" customHeight="1"/>
    <row r="2833" ht="27.75" customHeight="1"/>
    <row r="2834" ht="27.75" customHeight="1"/>
    <row r="2835" ht="27.75" customHeight="1"/>
    <row r="2836" ht="27.75" customHeight="1"/>
    <row r="2837" ht="45" customHeight="1"/>
    <row r="2838" ht="48" customHeight="1"/>
    <row r="2839" ht="27.75" customHeight="1"/>
    <row r="2840" ht="40.5" customHeight="1"/>
    <row r="2841" ht="19.5" customHeight="1"/>
    <row r="2842" ht="19.5" customHeight="1"/>
    <row r="2843" ht="19.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3395" ht="18" customHeight="1"/>
  </sheetData>
  <sortState ref="AZP123:AZP132">
    <sortCondition descending="1" ref="AZP122"/>
  </sortState>
  <mergeCells count="3">
    <mergeCell ref="B2:R2"/>
    <mergeCell ref="C6:H6"/>
    <mergeCell ref="I6:R6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38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1:W87"/>
  <sheetViews>
    <sheetView showGridLines="0" topLeftCell="A3" zoomScale="70" zoomScaleNormal="70" workbookViewId="0">
      <selection activeCell="L16" sqref="L16"/>
    </sheetView>
  </sheetViews>
  <sheetFormatPr defaultColWidth="9.140625" defaultRowHeight="15"/>
  <cols>
    <col min="1" max="1" width="5.7109375" style="9" customWidth="1"/>
    <col min="2" max="2" width="11.42578125" style="9" customWidth="1"/>
    <col min="3" max="3" width="10.28515625" style="9" customWidth="1"/>
    <col min="4" max="4" width="30.7109375" style="9" customWidth="1"/>
    <col min="5" max="5" width="9.7109375" style="34" customWidth="1"/>
    <col min="6" max="6" width="27.85546875" style="9" customWidth="1"/>
    <col min="7" max="7" width="11.5703125" style="9" customWidth="1"/>
    <col min="8" max="8" width="29.5703125" style="9" customWidth="1"/>
    <col min="9" max="9" width="12" style="34" customWidth="1"/>
    <col min="10" max="10" width="26" style="9" customWidth="1"/>
    <col min="11" max="11" width="19.7109375" style="34" customWidth="1"/>
    <col min="12" max="12" width="23.5703125" style="34" customWidth="1"/>
    <col min="13" max="13" width="17.5703125" style="9" customWidth="1"/>
    <col min="14" max="14" width="27.7109375" style="34" customWidth="1"/>
    <col min="15" max="16" width="14.42578125" style="9" customWidth="1"/>
    <col min="17" max="17" width="14.85546875" style="9" customWidth="1"/>
    <col min="18" max="16384" width="9.140625" style="9"/>
  </cols>
  <sheetData>
    <row r="1" spans="2:16" s="1" customFormat="1" ht="25.5" customHeight="1" thickBot="1">
      <c r="E1" s="14"/>
      <c r="I1" s="14"/>
      <c r="K1" s="14"/>
      <c r="L1" s="14"/>
      <c r="N1" s="14"/>
    </row>
    <row r="2" spans="2:16" ht="39.75" customHeight="1" thickBot="1">
      <c r="B2" s="107" t="s">
        <v>43</v>
      </c>
      <c r="C2" s="108"/>
      <c r="D2" s="108"/>
      <c r="E2" s="108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2"/>
    </row>
    <row r="3" spans="2:16" ht="29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2:16" ht="17.25" customHeight="1" thickBot="1">
      <c r="G4" s="34"/>
      <c r="H4" s="34"/>
      <c r="J4" s="34"/>
    </row>
    <row r="5" spans="2:16" ht="18" thickBot="1">
      <c r="B5" s="34"/>
      <c r="C5" s="60" t="s">
        <v>44</v>
      </c>
      <c r="D5" s="63" t="s">
        <v>45</v>
      </c>
      <c r="E5" s="62"/>
      <c r="F5" s="62" t="s">
        <v>58</v>
      </c>
      <c r="G5" s="34"/>
      <c r="H5" s="84" t="s">
        <v>61</v>
      </c>
      <c r="J5" s="34" t="s">
        <v>61</v>
      </c>
    </row>
    <row r="6" spans="2:16" ht="17.25">
      <c r="B6" s="34"/>
      <c r="C6" s="61" t="s">
        <v>46</v>
      </c>
      <c r="D6" s="64" t="str">
        <f>VLOOKUP(F6,$M$6:$N$39,2,0)</f>
        <v>Brasil</v>
      </c>
      <c r="E6" s="66">
        <f>VLOOKUP(D6,$H$6:$I$39,2,0)</f>
        <v>1</v>
      </c>
      <c r="F6" s="69">
        <f>VLOOKUP(1,$K$6:$M$39,3,0)</f>
        <v>243807867.0330604</v>
      </c>
      <c r="G6" s="5"/>
      <c r="H6" s="65" t="str">
        <f>J6</f>
        <v>Argentina + Uruguay</v>
      </c>
      <c r="I6" s="65">
        <v>0</v>
      </c>
      <c r="J6" s="34" t="s">
        <v>15</v>
      </c>
      <c r="K6" s="34">
        <f>RANK(M6,$M$6:$M$39)</f>
        <v>3</v>
      </c>
      <c r="L6" s="34">
        <v>156209576.00001115</v>
      </c>
      <c r="M6" s="67">
        <f xml:space="preserve"> L6 + 0.034</f>
        <v>156209576.03401116</v>
      </c>
      <c r="N6" s="65" t="str">
        <f t="shared" ref="N6:N39" si="0">H6</f>
        <v>Argentina + Uruguay</v>
      </c>
    </row>
    <row r="7" spans="2:16" ht="17.25">
      <c r="B7" s="34"/>
      <c r="C7" s="55" t="s">
        <v>47</v>
      </c>
      <c r="D7" s="3" t="str">
        <f>VLOOKUP(F7,$M$6:$N$39,2,0)</f>
        <v>Chile</v>
      </c>
      <c r="E7" s="50">
        <f>VLOOKUP(D7,$H$6:$I$39,2,0)</f>
        <v>2</v>
      </c>
      <c r="F7" s="3">
        <f>VLOOKUP(2,$K$6:$M$39,3,0)</f>
        <v>165030756.03186315</v>
      </c>
      <c r="G7" s="34"/>
      <c r="H7" s="65" t="str">
        <f t="shared" ref="H7:H39" si="1">J7</f>
        <v>Brasil</v>
      </c>
      <c r="I7" s="65">
        <v>1</v>
      </c>
      <c r="J7" s="34" t="s">
        <v>57</v>
      </c>
      <c r="K7" s="34">
        <f>RANK(M7,$M$6:$M$39)</f>
        <v>1</v>
      </c>
      <c r="L7" s="34">
        <v>243807867.00006041</v>
      </c>
      <c r="M7" s="68">
        <f xml:space="preserve"> L7 + 0.033</f>
        <v>243807867.0330604</v>
      </c>
      <c r="N7" s="65" t="str">
        <f t="shared" si="0"/>
        <v>Brasil</v>
      </c>
      <c r="O7" s="34"/>
    </row>
    <row r="8" spans="2:16" ht="18" thickBot="1">
      <c r="B8" s="34"/>
      <c r="C8" s="56" t="s">
        <v>48</v>
      </c>
      <c r="D8" s="4" t="str">
        <f t="shared" ref="D8:D39" si="2">VLOOKUP(F8,$M$6:$N$39,2,0)</f>
        <v>Argentina + Uruguay</v>
      </c>
      <c r="E8" s="51">
        <f t="shared" ref="E8:E39" si="3">VLOOKUP(D8,$H$6:$I$39,2,0)</f>
        <v>0</v>
      </c>
      <c r="F8" s="4">
        <f>VLOOKUP(3,$K$6:$M$39,3,0)</f>
        <v>156209576.03401116</v>
      </c>
      <c r="G8" s="34"/>
      <c r="H8" s="65" t="str">
        <f t="shared" si="1"/>
        <v>Chile</v>
      </c>
      <c r="I8" s="65">
        <v>2</v>
      </c>
      <c r="J8" s="34" t="s">
        <v>14</v>
      </c>
      <c r="K8" s="34">
        <f t="shared" ref="K8:K39" si="4">RANK(M8,$M$6:$M$39)</f>
        <v>2</v>
      </c>
      <c r="L8" s="34">
        <v>165030755.99986315</v>
      </c>
      <c r="M8" s="68">
        <f xml:space="preserve"> L8 + 0.032</f>
        <v>165030756.03186315</v>
      </c>
      <c r="N8" s="65" t="str">
        <f t="shared" si="0"/>
        <v>Chile</v>
      </c>
      <c r="O8" s="34"/>
      <c r="P8" s="5"/>
    </row>
    <row r="9" spans="2:16" ht="17.25">
      <c r="B9" s="34"/>
      <c r="C9" s="57" t="s">
        <v>49</v>
      </c>
      <c r="D9" s="6" t="str">
        <f t="shared" si="2"/>
        <v>Pakistan</v>
      </c>
      <c r="E9" s="52">
        <f t="shared" si="3"/>
        <v>7</v>
      </c>
      <c r="F9" s="6">
        <f>VLOOKUP(4,$K$6:$M$39,3,0)</f>
        <v>6130629.0270065255</v>
      </c>
      <c r="G9" s="34"/>
      <c r="H9" s="65" t="str">
        <f t="shared" si="1"/>
        <v>Colombia</v>
      </c>
      <c r="I9" s="65">
        <v>3</v>
      </c>
      <c r="J9" s="34" t="s">
        <v>11</v>
      </c>
      <c r="K9" s="34">
        <f t="shared" si="4"/>
        <v>8</v>
      </c>
      <c r="L9" s="34">
        <v>93759.999999936001</v>
      </c>
      <c r="M9" s="67">
        <f xml:space="preserve"> L9 + 0.031</f>
        <v>93760.030999936003</v>
      </c>
      <c r="N9" s="65" t="str">
        <f t="shared" si="0"/>
        <v>Colombia</v>
      </c>
      <c r="O9" s="34"/>
    </row>
    <row r="10" spans="2:16" ht="17.25">
      <c r="B10" s="34"/>
      <c r="C10" s="57" t="s">
        <v>50</v>
      </c>
      <c r="D10" s="6" t="str">
        <f t="shared" si="2"/>
        <v>Philippines</v>
      </c>
      <c r="E10" s="52">
        <f t="shared" si="3"/>
        <v>8</v>
      </c>
      <c r="F10" s="6">
        <f>VLOOKUP(5,$K$6:$M$39,3,0)</f>
        <v>2829168.0260000001</v>
      </c>
      <c r="G10" s="34"/>
      <c r="H10" s="65" t="str">
        <f t="shared" si="1"/>
        <v>India</v>
      </c>
      <c r="I10" s="65">
        <v>4</v>
      </c>
      <c r="J10" s="34" t="s">
        <v>19</v>
      </c>
      <c r="K10" s="34">
        <f t="shared" si="4"/>
        <v>11</v>
      </c>
      <c r="L10" s="34">
        <v>6288</v>
      </c>
      <c r="M10" s="68">
        <f xml:space="preserve"> L10 + 0.03</f>
        <v>6288.03</v>
      </c>
      <c r="N10" s="65" t="str">
        <f t="shared" si="0"/>
        <v>India</v>
      </c>
      <c r="O10" s="34"/>
    </row>
    <row r="11" spans="2:16" ht="18" thickBot="1">
      <c r="B11" s="34"/>
      <c r="C11" s="57" t="s">
        <v>51</v>
      </c>
      <c r="D11" s="6" t="str">
        <f t="shared" si="2"/>
        <v>Taiwan</v>
      </c>
      <c r="E11" s="52">
        <f t="shared" si="3"/>
        <v>9</v>
      </c>
      <c r="F11" s="6">
        <f>VLOOKUP(6,$K$6:$M$39,3,0)</f>
        <v>1993167.5249941</v>
      </c>
      <c r="G11" s="34"/>
      <c r="H11" s="65" t="str">
        <f t="shared" si="1"/>
        <v>Malaysia + Singapore</v>
      </c>
      <c r="I11" s="65">
        <v>5</v>
      </c>
      <c r="J11" s="34" t="s">
        <v>13</v>
      </c>
      <c r="K11" s="34">
        <f t="shared" si="4"/>
        <v>10</v>
      </c>
      <c r="L11" s="34">
        <v>39798</v>
      </c>
      <c r="M11" s="68">
        <f xml:space="preserve"> L11 + 0.029</f>
        <v>39798.029000000002</v>
      </c>
      <c r="N11" s="65" t="str">
        <f t="shared" si="0"/>
        <v>Malaysia + Singapore</v>
      </c>
      <c r="O11" s="34"/>
    </row>
    <row r="12" spans="2:16" ht="17.25">
      <c r="B12" s="34"/>
      <c r="C12" s="57" t="s">
        <v>52</v>
      </c>
      <c r="D12" s="6" t="str">
        <f t="shared" si="2"/>
        <v>United States</v>
      </c>
      <c r="E12" s="52">
        <f t="shared" si="3"/>
        <v>10</v>
      </c>
      <c r="F12" s="6">
        <f>VLOOKUP(7,$K$6:$M$39,3,0)</f>
        <v>1786984.0240056987</v>
      </c>
      <c r="G12" s="34"/>
      <c r="H12" s="65" t="str">
        <f t="shared" si="1"/>
        <v>Mexico</v>
      </c>
      <c r="I12" s="65">
        <v>6</v>
      </c>
      <c r="J12" s="34" t="s">
        <v>12</v>
      </c>
      <c r="K12" s="34">
        <f t="shared" si="4"/>
        <v>9</v>
      </c>
      <c r="L12" s="34">
        <v>54970</v>
      </c>
      <c r="M12" s="67">
        <f xml:space="preserve"> L12 + 0.028</f>
        <v>54970.027999999998</v>
      </c>
      <c r="N12" s="65" t="str">
        <f t="shared" si="0"/>
        <v>Mexico</v>
      </c>
      <c r="O12" s="34"/>
    </row>
    <row r="13" spans="2:16" ht="17.25">
      <c r="B13" s="34"/>
      <c r="C13" s="57" t="s">
        <v>53</v>
      </c>
      <c r="D13" s="6" t="str">
        <f t="shared" si="2"/>
        <v>Colombia</v>
      </c>
      <c r="E13" s="52">
        <f t="shared" si="3"/>
        <v>3</v>
      </c>
      <c r="F13" s="6">
        <f>VLOOKUP(8,$K$6:$M$39,3,0)</f>
        <v>93760.030999936003</v>
      </c>
      <c r="G13" s="34"/>
      <c r="H13" s="65" t="str">
        <f t="shared" si="1"/>
        <v>Pakistan</v>
      </c>
      <c r="I13" s="65">
        <v>7</v>
      </c>
      <c r="J13" s="34" t="s">
        <v>20</v>
      </c>
      <c r="K13" s="34">
        <f t="shared" si="4"/>
        <v>4</v>
      </c>
      <c r="L13" s="34">
        <v>6130629.0000065258</v>
      </c>
      <c r="M13" s="68">
        <f xml:space="preserve"> L13 + 0.027</f>
        <v>6130629.0270065255</v>
      </c>
      <c r="N13" s="65" t="str">
        <f t="shared" si="0"/>
        <v>Pakistan</v>
      </c>
      <c r="O13" s="34"/>
    </row>
    <row r="14" spans="2:16" ht="18" thickBot="1">
      <c r="B14" s="34"/>
      <c r="C14" s="58" t="s">
        <v>54</v>
      </c>
      <c r="D14" s="7" t="str">
        <f t="shared" si="2"/>
        <v>Mexico</v>
      </c>
      <c r="E14" s="53">
        <f t="shared" si="3"/>
        <v>6</v>
      </c>
      <c r="F14" s="7">
        <f>VLOOKUP(9,$K$6:$M$39,3,0)</f>
        <v>54970.027999999998</v>
      </c>
      <c r="G14" s="34"/>
      <c r="H14" s="65" t="str">
        <f t="shared" si="1"/>
        <v>Philippines</v>
      </c>
      <c r="I14" s="65">
        <v>8</v>
      </c>
      <c r="J14" s="34" t="s">
        <v>16</v>
      </c>
      <c r="K14" s="34">
        <f t="shared" si="4"/>
        <v>5</v>
      </c>
      <c r="L14" s="34">
        <v>2829168</v>
      </c>
      <c r="M14" s="68">
        <f xml:space="preserve"> L14 + 0.026</f>
        <v>2829168.0260000001</v>
      </c>
      <c r="N14" s="65" t="str">
        <f t="shared" si="0"/>
        <v>Philippines</v>
      </c>
      <c r="O14" s="34"/>
    </row>
    <row r="15" spans="2:16" ht="17.25">
      <c r="B15" s="34"/>
      <c r="C15" s="58" t="s">
        <v>55</v>
      </c>
      <c r="D15" s="7" t="str">
        <f t="shared" si="2"/>
        <v>Malaysia + Singapore</v>
      </c>
      <c r="E15" s="53">
        <f t="shared" si="3"/>
        <v>5</v>
      </c>
      <c r="F15" s="7">
        <f>VLOOKUP(10,$K$6:$M$39,3,0)</f>
        <v>39798.029000000002</v>
      </c>
      <c r="G15" s="34"/>
      <c r="H15" s="65" t="str">
        <f t="shared" si="1"/>
        <v>Taiwan</v>
      </c>
      <c r="I15" s="65">
        <v>9</v>
      </c>
      <c r="J15" s="34" t="s">
        <v>17</v>
      </c>
      <c r="K15" s="34">
        <f t="shared" si="4"/>
        <v>6</v>
      </c>
      <c r="L15" s="34">
        <v>1993167.4999941001</v>
      </c>
      <c r="M15" s="67">
        <f xml:space="preserve"> L15 + 0.025</f>
        <v>1993167.5249941</v>
      </c>
      <c r="N15" s="65" t="str">
        <f t="shared" si="0"/>
        <v>Taiwan</v>
      </c>
      <c r="O15" s="34"/>
    </row>
    <row r="16" spans="2:16" ht="17.25">
      <c r="B16" s="34"/>
      <c r="C16" s="58" t="s">
        <v>56</v>
      </c>
      <c r="D16" s="7" t="str">
        <f t="shared" si="2"/>
        <v>India</v>
      </c>
      <c r="E16" s="53">
        <f t="shared" si="3"/>
        <v>4</v>
      </c>
      <c r="F16" s="7">
        <f>VLOOKUP(11,$K$6:$M$39,3,0)</f>
        <v>6288.03</v>
      </c>
      <c r="G16" s="34"/>
      <c r="H16" s="65" t="str">
        <f t="shared" si="1"/>
        <v>United States</v>
      </c>
      <c r="I16" s="65">
        <v>10</v>
      </c>
      <c r="J16" s="34" t="s">
        <v>18</v>
      </c>
      <c r="K16" s="34">
        <f>RANK(M16,$M$6:$M$39)</f>
        <v>7</v>
      </c>
      <c r="L16" s="34">
        <v>1786984.0000056988</v>
      </c>
      <c r="M16" s="68">
        <f xml:space="preserve"> L16 + 0.024</f>
        <v>1786984.0240056987</v>
      </c>
      <c r="N16" s="65" t="str">
        <f t="shared" si="0"/>
        <v>United States</v>
      </c>
      <c r="O16" s="34"/>
    </row>
    <row r="17" spans="2:23" ht="18" thickBot="1">
      <c r="C17" s="58" t="s">
        <v>73</v>
      </c>
      <c r="D17" s="7">
        <f t="shared" si="2"/>
        <v>0</v>
      </c>
      <c r="E17" s="53">
        <f>VLOOKUP(D17,$H$6:$I$39,2,0)</f>
        <v>11</v>
      </c>
      <c r="F17" s="7">
        <f>VLOOKUP(12,$K$6:$M$39,3,0)</f>
        <v>2.3E-2</v>
      </c>
      <c r="G17" s="34"/>
      <c r="H17" s="65">
        <f t="shared" si="1"/>
        <v>0</v>
      </c>
      <c r="I17" s="65">
        <v>11</v>
      </c>
      <c r="J17"/>
      <c r="K17" s="34">
        <f t="shared" si="4"/>
        <v>12</v>
      </c>
      <c r="M17" s="68">
        <f xml:space="preserve"> L17 + 0.023</f>
        <v>2.3E-2</v>
      </c>
      <c r="N17" s="65">
        <f t="shared" si="0"/>
        <v>0</v>
      </c>
      <c r="O17" s="34"/>
      <c r="P17" s="34"/>
      <c r="Q17" s="34"/>
      <c r="R17" s="34"/>
      <c r="S17" s="34"/>
      <c r="T17" s="34"/>
      <c r="U17" s="34"/>
      <c r="V17" s="34"/>
      <c r="W17" s="34"/>
    </row>
    <row r="18" spans="2:23" ht="17.25">
      <c r="B18" s="34"/>
      <c r="C18" s="58" t="s">
        <v>74</v>
      </c>
      <c r="D18" s="7">
        <f t="shared" si="2"/>
        <v>0</v>
      </c>
      <c r="E18" s="53">
        <f t="shared" si="3"/>
        <v>11</v>
      </c>
      <c r="F18" s="7">
        <f>VLOOKUP(13,$K$6:$M$39,3,0)</f>
        <v>2.1999999999999999E-2</v>
      </c>
      <c r="H18" s="65">
        <f t="shared" si="1"/>
        <v>0</v>
      </c>
      <c r="I18" s="65">
        <v>12</v>
      </c>
      <c r="J18"/>
      <c r="K18" s="34">
        <f t="shared" si="4"/>
        <v>13</v>
      </c>
      <c r="M18" s="67">
        <f xml:space="preserve"> L18 + 0.022</f>
        <v>2.1999999999999999E-2</v>
      </c>
      <c r="N18" s="65">
        <f t="shared" si="0"/>
        <v>0</v>
      </c>
      <c r="O18" s="34"/>
      <c r="P18" s="34"/>
      <c r="Q18" s="34"/>
      <c r="R18" s="34"/>
      <c r="S18" s="34"/>
      <c r="T18" s="34"/>
      <c r="U18" s="34"/>
      <c r="V18" s="34"/>
      <c r="W18" s="34"/>
    </row>
    <row r="19" spans="2:23" ht="17.25">
      <c r="B19" s="34"/>
      <c r="C19" s="58" t="s">
        <v>75</v>
      </c>
      <c r="D19" s="7">
        <f t="shared" si="2"/>
        <v>0</v>
      </c>
      <c r="E19" s="53">
        <f t="shared" si="3"/>
        <v>11</v>
      </c>
      <c r="F19" s="7">
        <f>VLOOKUP(14,$K$6:$M$39,3,0)</f>
        <v>2.1000000000000001E-2</v>
      </c>
      <c r="H19" s="65">
        <f t="shared" si="1"/>
        <v>0</v>
      </c>
      <c r="I19" s="65">
        <v>13</v>
      </c>
      <c r="J19"/>
      <c r="K19" s="34">
        <f t="shared" si="4"/>
        <v>14</v>
      </c>
      <c r="M19" s="68">
        <f xml:space="preserve"> L19 + 0.021</f>
        <v>2.1000000000000001E-2</v>
      </c>
      <c r="N19" s="65">
        <f t="shared" si="0"/>
        <v>0</v>
      </c>
      <c r="O19" s="34"/>
      <c r="P19" s="34"/>
      <c r="Q19" s="34"/>
      <c r="R19" s="34"/>
      <c r="S19" s="34"/>
      <c r="T19" s="34"/>
      <c r="U19" s="34"/>
      <c r="V19" s="34"/>
      <c r="W19" s="34"/>
    </row>
    <row r="20" spans="2:23" ht="18" thickBot="1">
      <c r="B20" s="34"/>
      <c r="C20" s="58" t="s">
        <v>76</v>
      </c>
      <c r="D20" s="7">
        <f t="shared" si="2"/>
        <v>0</v>
      </c>
      <c r="E20" s="53">
        <f t="shared" si="3"/>
        <v>11</v>
      </c>
      <c r="F20" s="7">
        <f>VLOOKUP(15,$K$6:$M$39,3,0)</f>
        <v>0.02</v>
      </c>
      <c r="G20" s="34"/>
      <c r="H20" s="65">
        <f t="shared" si="1"/>
        <v>0</v>
      </c>
      <c r="I20" s="65">
        <v>14</v>
      </c>
      <c r="J20"/>
      <c r="K20" s="34">
        <f t="shared" si="4"/>
        <v>15</v>
      </c>
      <c r="M20" s="68">
        <f xml:space="preserve"> L20 + 0.02</f>
        <v>0.02</v>
      </c>
      <c r="N20" s="65">
        <f t="shared" si="0"/>
        <v>0</v>
      </c>
      <c r="O20" s="34"/>
      <c r="P20" s="34"/>
      <c r="Q20" s="34"/>
      <c r="R20" s="34"/>
      <c r="S20" s="34"/>
      <c r="T20" s="34"/>
      <c r="U20" s="34"/>
      <c r="V20" s="34"/>
      <c r="W20" s="34"/>
    </row>
    <row r="21" spans="2:23" ht="17.25">
      <c r="B21" s="34"/>
      <c r="C21" s="58" t="s">
        <v>77</v>
      </c>
      <c r="D21" s="7">
        <f t="shared" si="2"/>
        <v>0</v>
      </c>
      <c r="E21" s="53">
        <f t="shared" si="3"/>
        <v>11</v>
      </c>
      <c r="F21" s="7">
        <f>VLOOKUP(16,$K$6:$M$39,3,0)</f>
        <v>1.9E-2</v>
      </c>
      <c r="G21" s="34"/>
      <c r="H21" s="65">
        <f t="shared" si="1"/>
        <v>0</v>
      </c>
      <c r="I21" s="65">
        <v>15</v>
      </c>
      <c r="J21"/>
      <c r="K21" s="34">
        <f t="shared" si="4"/>
        <v>16</v>
      </c>
      <c r="M21" s="67">
        <f xml:space="preserve"> L21 + 0.019</f>
        <v>1.9E-2</v>
      </c>
      <c r="N21" s="65">
        <f t="shared" si="0"/>
        <v>0</v>
      </c>
      <c r="O21" s="34"/>
      <c r="P21" s="34"/>
      <c r="Q21" s="34"/>
      <c r="R21" s="34"/>
      <c r="S21" s="34"/>
      <c r="T21" s="34"/>
      <c r="U21" s="34"/>
      <c r="V21" s="34"/>
      <c r="W21" s="34"/>
    </row>
    <row r="22" spans="2:23" ht="17.25">
      <c r="B22" s="34"/>
      <c r="C22" s="58" t="s">
        <v>78</v>
      </c>
      <c r="D22" s="7">
        <f t="shared" si="2"/>
        <v>0</v>
      </c>
      <c r="E22" s="53">
        <f t="shared" si="3"/>
        <v>11</v>
      </c>
      <c r="F22" s="7">
        <f>VLOOKUP(17,$K$6:$M$39,3,0)</f>
        <v>1.7999999999999999E-2</v>
      </c>
      <c r="G22" s="34"/>
      <c r="H22" s="65">
        <f t="shared" si="1"/>
        <v>0</v>
      </c>
      <c r="I22" s="65">
        <v>16</v>
      </c>
      <c r="J22"/>
      <c r="K22" s="34">
        <f t="shared" si="4"/>
        <v>17</v>
      </c>
      <c r="M22" s="68">
        <f xml:space="preserve"> L22 + 0.018</f>
        <v>1.7999999999999999E-2</v>
      </c>
      <c r="N22" s="65">
        <f t="shared" si="0"/>
        <v>0</v>
      </c>
      <c r="O22" s="34"/>
      <c r="P22" s="34"/>
      <c r="Q22" s="34"/>
      <c r="R22" s="34"/>
      <c r="S22" s="34"/>
      <c r="T22" s="34"/>
      <c r="U22" s="34"/>
      <c r="V22" s="34"/>
      <c r="W22" s="34"/>
    </row>
    <row r="23" spans="2:23" ht="18" thickBot="1">
      <c r="B23" s="34"/>
      <c r="C23" s="58" t="s">
        <v>79</v>
      </c>
      <c r="D23" s="7">
        <f t="shared" si="2"/>
        <v>0</v>
      </c>
      <c r="E23" s="53">
        <f t="shared" si="3"/>
        <v>11</v>
      </c>
      <c r="F23" s="7">
        <f>VLOOKUP(18,$K$6:$M$39,3,0)</f>
        <v>1.7000000000000001E-2</v>
      </c>
      <c r="G23" s="34"/>
      <c r="H23" s="65">
        <f t="shared" si="1"/>
        <v>0</v>
      </c>
      <c r="I23" s="65">
        <v>17</v>
      </c>
      <c r="J23"/>
      <c r="K23" s="34">
        <f t="shared" si="4"/>
        <v>18</v>
      </c>
      <c r="M23" s="68">
        <f xml:space="preserve"> L23 + 0.017</f>
        <v>1.7000000000000001E-2</v>
      </c>
      <c r="N23" s="65">
        <f t="shared" si="0"/>
        <v>0</v>
      </c>
      <c r="O23" s="34"/>
      <c r="P23" s="34"/>
      <c r="Q23" s="34"/>
      <c r="R23" s="34"/>
      <c r="S23" s="34"/>
      <c r="T23" s="34"/>
      <c r="U23" s="34"/>
      <c r="V23" s="34"/>
      <c r="W23" s="34"/>
    </row>
    <row r="24" spans="2:23" ht="17.25">
      <c r="B24" s="34"/>
      <c r="C24" s="58" t="s">
        <v>80</v>
      </c>
      <c r="D24" s="7">
        <f t="shared" si="2"/>
        <v>0</v>
      </c>
      <c r="E24" s="53">
        <f t="shared" si="3"/>
        <v>11</v>
      </c>
      <c r="F24" s="7">
        <f>VLOOKUP(19,$K$6:$M$39,3,0)</f>
        <v>1.6E-2</v>
      </c>
      <c r="G24" s="34"/>
      <c r="H24" s="65">
        <f t="shared" si="1"/>
        <v>0</v>
      </c>
      <c r="I24" s="65">
        <v>18</v>
      </c>
      <c r="J24"/>
      <c r="K24" s="34">
        <f t="shared" si="4"/>
        <v>19</v>
      </c>
      <c r="M24" s="67">
        <f xml:space="preserve"> L24 + 0.016</f>
        <v>1.6E-2</v>
      </c>
      <c r="N24" s="65">
        <f t="shared" si="0"/>
        <v>0</v>
      </c>
      <c r="O24" s="34"/>
      <c r="P24" s="34"/>
      <c r="Q24" s="34"/>
      <c r="R24" s="34"/>
      <c r="S24" s="34"/>
      <c r="T24" s="34"/>
      <c r="U24" s="34"/>
      <c r="V24" s="34"/>
      <c r="W24" s="34"/>
    </row>
    <row r="25" spans="2:23" ht="17.25">
      <c r="B25" s="34"/>
      <c r="C25" s="58" t="s">
        <v>81</v>
      </c>
      <c r="D25" s="7">
        <f t="shared" si="2"/>
        <v>0</v>
      </c>
      <c r="E25" s="53">
        <f t="shared" si="3"/>
        <v>11</v>
      </c>
      <c r="F25" s="7">
        <f>VLOOKUP(20,$K$6:$M$39,3,0)</f>
        <v>1.4999999999999999E-2</v>
      </c>
      <c r="G25" s="34"/>
      <c r="H25" s="65">
        <f t="shared" si="1"/>
        <v>0</v>
      </c>
      <c r="I25" s="65">
        <v>19</v>
      </c>
      <c r="J25"/>
      <c r="K25" s="34">
        <f t="shared" si="4"/>
        <v>20</v>
      </c>
      <c r="M25" s="68">
        <f xml:space="preserve"> L25 + 0.015</f>
        <v>1.4999999999999999E-2</v>
      </c>
      <c r="N25" s="65">
        <f t="shared" si="0"/>
        <v>0</v>
      </c>
      <c r="O25" s="34"/>
      <c r="P25" s="34"/>
      <c r="Q25" s="34"/>
      <c r="R25" s="34"/>
      <c r="S25" s="34"/>
      <c r="T25" s="34"/>
      <c r="U25" s="34"/>
      <c r="V25" s="34"/>
      <c r="W25" s="34"/>
    </row>
    <row r="26" spans="2:23" ht="18" thickBot="1">
      <c r="B26" s="34"/>
      <c r="C26" s="58" t="s">
        <v>90</v>
      </c>
      <c r="D26" s="7">
        <f t="shared" si="2"/>
        <v>0</v>
      </c>
      <c r="E26" s="53">
        <f t="shared" si="3"/>
        <v>11</v>
      </c>
      <c r="F26" s="7">
        <f>VLOOKUP(21,$K$6:$M$39,3,0)</f>
        <v>1.4E-2</v>
      </c>
      <c r="G26" s="34"/>
      <c r="H26" s="65">
        <f t="shared" si="1"/>
        <v>0</v>
      </c>
      <c r="I26" s="65">
        <v>20</v>
      </c>
      <c r="J26"/>
      <c r="K26" s="34">
        <f t="shared" si="4"/>
        <v>21</v>
      </c>
      <c r="M26" s="68">
        <f xml:space="preserve"> L26 + 0.014</f>
        <v>1.4E-2</v>
      </c>
      <c r="N26" s="65">
        <f t="shared" si="0"/>
        <v>0</v>
      </c>
      <c r="O26" s="34"/>
      <c r="P26" s="34"/>
      <c r="Q26" s="34"/>
      <c r="R26" s="34"/>
      <c r="S26" s="34"/>
      <c r="T26" s="34"/>
      <c r="U26" s="34"/>
      <c r="V26" s="34"/>
      <c r="W26" s="34"/>
    </row>
    <row r="27" spans="2:23" ht="17.25">
      <c r="B27" s="34"/>
      <c r="C27" s="58" t="s">
        <v>91</v>
      </c>
      <c r="D27" s="7">
        <f t="shared" si="2"/>
        <v>0</v>
      </c>
      <c r="E27" s="53">
        <f t="shared" si="3"/>
        <v>11</v>
      </c>
      <c r="F27" s="7">
        <f>VLOOKUP(22,$K$6:$M$39,3,0)</f>
        <v>1.2999999999999999E-2</v>
      </c>
      <c r="G27" s="34"/>
      <c r="H27" s="65">
        <f t="shared" si="1"/>
        <v>0</v>
      </c>
      <c r="I27" s="65">
        <v>21</v>
      </c>
      <c r="J27"/>
      <c r="K27" s="34">
        <f t="shared" si="4"/>
        <v>22</v>
      </c>
      <c r="M27" s="67">
        <f xml:space="preserve"> L27 + 0.013</f>
        <v>1.2999999999999999E-2</v>
      </c>
      <c r="N27" s="65">
        <f t="shared" si="0"/>
        <v>0</v>
      </c>
      <c r="O27" s="34"/>
      <c r="P27" s="34"/>
      <c r="Q27" s="34"/>
      <c r="R27" s="34"/>
      <c r="S27" s="34"/>
      <c r="T27" s="34"/>
      <c r="U27" s="34"/>
      <c r="V27" s="34"/>
      <c r="W27" s="34"/>
    </row>
    <row r="28" spans="2:23" ht="17.25">
      <c r="B28" s="34"/>
      <c r="C28" s="58" t="s">
        <v>92</v>
      </c>
      <c r="D28" s="7">
        <f t="shared" si="2"/>
        <v>0</v>
      </c>
      <c r="E28" s="53">
        <f t="shared" si="3"/>
        <v>11</v>
      </c>
      <c r="F28" s="7">
        <f>VLOOKUP(23,$K$6:$M$39,3,0)</f>
        <v>1.2E-2</v>
      </c>
      <c r="G28" s="34"/>
      <c r="H28" s="65">
        <f t="shared" si="1"/>
        <v>0</v>
      </c>
      <c r="I28" s="65">
        <v>22</v>
      </c>
      <c r="J28"/>
      <c r="K28" s="34">
        <f t="shared" si="4"/>
        <v>23</v>
      </c>
      <c r="M28" s="68">
        <f xml:space="preserve"> L28 + 0.012</f>
        <v>1.2E-2</v>
      </c>
      <c r="N28" s="65">
        <f t="shared" si="0"/>
        <v>0</v>
      </c>
      <c r="O28" s="34"/>
      <c r="P28" s="34"/>
      <c r="Q28" s="34"/>
      <c r="R28" s="34"/>
      <c r="S28" s="34"/>
      <c r="T28" s="34"/>
      <c r="U28" s="34"/>
      <c r="V28" s="34"/>
      <c r="W28" s="34"/>
    </row>
    <row r="29" spans="2:23" ht="18" thickBot="1">
      <c r="B29" s="34"/>
      <c r="C29" s="58" t="s">
        <v>82</v>
      </c>
      <c r="D29" s="7">
        <f t="shared" si="2"/>
        <v>0</v>
      </c>
      <c r="E29" s="53">
        <f t="shared" si="3"/>
        <v>11</v>
      </c>
      <c r="F29" s="7">
        <f>VLOOKUP(24,$K$6:$M$39,3,0)</f>
        <v>1.0999999999999999E-2</v>
      </c>
      <c r="G29" s="34"/>
      <c r="H29" s="65">
        <f t="shared" si="1"/>
        <v>0</v>
      </c>
      <c r="I29" s="65">
        <v>23</v>
      </c>
      <c r="J29"/>
      <c r="K29" s="34">
        <f t="shared" si="4"/>
        <v>24</v>
      </c>
      <c r="M29" s="68">
        <f xml:space="preserve"> L29 + 0.011</f>
        <v>1.0999999999999999E-2</v>
      </c>
      <c r="N29" s="65">
        <f t="shared" si="0"/>
        <v>0</v>
      </c>
      <c r="O29" s="34"/>
      <c r="P29" s="34"/>
      <c r="Q29" s="34"/>
      <c r="R29" s="34"/>
      <c r="S29" s="34"/>
      <c r="T29" s="34"/>
      <c r="U29" s="34"/>
      <c r="V29" s="34"/>
      <c r="W29" s="34"/>
    </row>
    <row r="30" spans="2:23" ht="17.25">
      <c r="B30" s="34"/>
      <c r="C30" s="58" t="s">
        <v>83</v>
      </c>
      <c r="D30" s="7">
        <f t="shared" si="2"/>
        <v>0</v>
      </c>
      <c r="E30" s="53">
        <f t="shared" si="3"/>
        <v>11</v>
      </c>
      <c r="F30" s="7">
        <f>VLOOKUP(25,$K$6:$M$39,3,0)</f>
        <v>0.01</v>
      </c>
      <c r="G30" s="34"/>
      <c r="H30" s="65">
        <f t="shared" si="1"/>
        <v>0</v>
      </c>
      <c r="I30" s="65">
        <v>24</v>
      </c>
      <c r="J30"/>
      <c r="K30" s="34">
        <f t="shared" si="4"/>
        <v>25</v>
      </c>
      <c r="M30" s="67">
        <f xml:space="preserve"> L30 + 0.01</f>
        <v>0.01</v>
      </c>
      <c r="N30" s="65">
        <f t="shared" si="0"/>
        <v>0</v>
      </c>
      <c r="O30" s="34"/>
      <c r="P30" s="34"/>
      <c r="Q30" s="34"/>
      <c r="R30" s="34"/>
      <c r="S30" s="34"/>
      <c r="T30" s="34"/>
      <c r="U30" s="34"/>
      <c r="V30" s="34"/>
      <c r="W30" s="34"/>
    </row>
    <row r="31" spans="2:23" ht="17.25">
      <c r="B31" s="34"/>
      <c r="C31" s="58" t="s">
        <v>84</v>
      </c>
      <c r="D31" s="7">
        <f t="shared" si="2"/>
        <v>0</v>
      </c>
      <c r="E31" s="53">
        <f t="shared" si="3"/>
        <v>11</v>
      </c>
      <c r="F31" s="7">
        <f>VLOOKUP(26,$K$6:$M$39,3,0)</f>
        <v>8.9999999999999993E-3</v>
      </c>
      <c r="G31" s="34"/>
      <c r="H31" s="65">
        <f t="shared" si="1"/>
        <v>0</v>
      </c>
      <c r="I31" s="65">
        <v>25</v>
      </c>
      <c r="J31"/>
      <c r="K31" s="34">
        <f t="shared" si="4"/>
        <v>26</v>
      </c>
      <c r="M31" s="68">
        <f xml:space="preserve"> L31 + 0.009</f>
        <v>8.9999999999999993E-3</v>
      </c>
      <c r="N31" s="65">
        <f t="shared" si="0"/>
        <v>0</v>
      </c>
      <c r="O31" s="34"/>
    </row>
    <row r="32" spans="2:23" ht="18" thickBot="1">
      <c r="B32" s="34"/>
      <c r="C32" s="58" t="s">
        <v>85</v>
      </c>
      <c r="D32" s="7">
        <f t="shared" si="2"/>
        <v>0</v>
      </c>
      <c r="E32" s="53">
        <f t="shared" si="3"/>
        <v>11</v>
      </c>
      <c r="F32" s="7">
        <f>VLOOKUP(27,$K$6:$M$39,3,0)</f>
        <v>8.0000000000000002E-3</v>
      </c>
      <c r="G32" s="34"/>
      <c r="H32" s="65">
        <f t="shared" si="1"/>
        <v>0</v>
      </c>
      <c r="I32" s="65">
        <v>26</v>
      </c>
      <c r="J32"/>
      <c r="K32" s="34">
        <f t="shared" si="4"/>
        <v>27</v>
      </c>
      <c r="M32" s="68">
        <f xml:space="preserve"> L32 + 0.008</f>
        <v>8.0000000000000002E-3</v>
      </c>
      <c r="N32" s="65">
        <f t="shared" si="0"/>
        <v>0</v>
      </c>
      <c r="O32" s="34"/>
    </row>
    <row r="33" spans="2:15" ht="17.25">
      <c r="B33" s="34"/>
      <c r="C33" s="58" t="s">
        <v>86</v>
      </c>
      <c r="D33" s="7">
        <f t="shared" si="2"/>
        <v>0</v>
      </c>
      <c r="E33" s="53">
        <f t="shared" si="3"/>
        <v>11</v>
      </c>
      <c r="F33" s="7">
        <f>VLOOKUP(28,$K$6:$M$39,3,0)</f>
        <v>7.0000000000000001E-3</v>
      </c>
      <c r="G33" s="34"/>
      <c r="H33" s="65">
        <f t="shared" si="1"/>
        <v>0</v>
      </c>
      <c r="I33" s="65">
        <v>27</v>
      </c>
      <c r="J33"/>
      <c r="K33" s="34">
        <f t="shared" si="4"/>
        <v>28</v>
      </c>
      <c r="M33" s="67">
        <f xml:space="preserve"> L33 + 0.007</f>
        <v>7.0000000000000001E-3</v>
      </c>
      <c r="N33" s="65">
        <f t="shared" si="0"/>
        <v>0</v>
      </c>
      <c r="O33" s="34"/>
    </row>
    <row r="34" spans="2:15" ht="17.25">
      <c r="B34" s="34"/>
      <c r="C34" s="58" t="s">
        <v>87</v>
      </c>
      <c r="D34" s="7">
        <f t="shared" si="2"/>
        <v>0</v>
      </c>
      <c r="E34" s="53">
        <f t="shared" si="3"/>
        <v>11</v>
      </c>
      <c r="F34" s="7">
        <f>VLOOKUP(29,$K$6:$M$39,3,0)</f>
        <v>6.0000000000000001E-3</v>
      </c>
      <c r="G34" s="34"/>
      <c r="H34" s="65">
        <f t="shared" si="1"/>
        <v>0</v>
      </c>
      <c r="I34" s="65">
        <v>28</v>
      </c>
      <c r="J34"/>
      <c r="K34" s="34">
        <f t="shared" si="4"/>
        <v>29</v>
      </c>
      <c r="M34" s="68">
        <f xml:space="preserve"> L34 + 0.006</f>
        <v>6.0000000000000001E-3</v>
      </c>
      <c r="N34" s="65">
        <f t="shared" si="0"/>
        <v>0</v>
      </c>
      <c r="O34" s="34"/>
    </row>
    <row r="35" spans="2:15" ht="18" thickBot="1">
      <c r="B35" s="34"/>
      <c r="C35" s="58" t="s">
        <v>88</v>
      </c>
      <c r="D35" s="7">
        <f t="shared" si="2"/>
        <v>0</v>
      </c>
      <c r="E35" s="53">
        <f t="shared" si="3"/>
        <v>11</v>
      </c>
      <c r="F35" s="7">
        <f>VLOOKUP(30,$K$6:$M$39,3,0)</f>
        <v>5.0000000000000001E-3</v>
      </c>
      <c r="H35" s="65">
        <f t="shared" si="1"/>
        <v>0</v>
      </c>
      <c r="I35" s="65">
        <v>29</v>
      </c>
      <c r="J35"/>
      <c r="K35" s="34">
        <f t="shared" si="4"/>
        <v>30</v>
      </c>
      <c r="M35" s="68">
        <f xml:space="preserve"> L35 + 0.005</f>
        <v>5.0000000000000001E-3</v>
      </c>
      <c r="N35" s="65">
        <f t="shared" si="0"/>
        <v>0</v>
      </c>
      <c r="O35" s="34"/>
    </row>
    <row r="36" spans="2:15" ht="17.25">
      <c r="B36" s="34"/>
      <c r="C36" s="58" t="s">
        <v>93</v>
      </c>
      <c r="D36" s="7">
        <f t="shared" si="2"/>
        <v>0</v>
      </c>
      <c r="E36" s="53">
        <f t="shared" si="3"/>
        <v>11</v>
      </c>
      <c r="F36" s="7">
        <f>VLOOKUP(31,$K$6:$M$39,3,0)</f>
        <v>4.0000000000000001E-3</v>
      </c>
      <c r="H36" s="65">
        <f t="shared" si="1"/>
        <v>0</v>
      </c>
      <c r="I36" s="65">
        <v>30</v>
      </c>
      <c r="J36"/>
      <c r="K36" s="34">
        <f t="shared" si="4"/>
        <v>31</v>
      </c>
      <c r="M36" s="67">
        <f xml:space="preserve"> L36 + 0.004</f>
        <v>4.0000000000000001E-3</v>
      </c>
      <c r="N36" s="65">
        <f t="shared" si="0"/>
        <v>0</v>
      </c>
      <c r="O36" s="34"/>
    </row>
    <row r="37" spans="2:15" ht="17.25">
      <c r="B37" s="34"/>
      <c r="C37" s="58" t="s">
        <v>94</v>
      </c>
      <c r="D37" s="7">
        <f t="shared" si="2"/>
        <v>0</v>
      </c>
      <c r="E37" s="53">
        <f t="shared" si="3"/>
        <v>11</v>
      </c>
      <c r="F37" s="7">
        <f>VLOOKUP(32,$K$6:$M$39,3,0)</f>
        <v>3.0000000000000001E-3</v>
      </c>
      <c r="H37" s="65">
        <f t="shared" si="1"/>
        <v>0</v>
      </c>
      <c r="I37" s="65">
        <v>31</v>
      </c>
      <c r="J37"/>
      <c r="K37" s="34">
        <f t="shared" si="4"/>
        <v>32</v>
      </c>
      <c r="M37" s="68">
        <f xml:space="preserve"> L37 + 0.003</f>
        <v>3.0000000000000001E-3</v>
      </c>
      <c r="N37" s="65">
        <f t="shared" si="0"/>
        <v>0</v>
      </c>
      <c r="O37" s="34"/>
    </row>
    <row r="38" spans="2:15" ht="18" thickBot="1">
      <c r="B38" s="34"/>
      <c r="C38" s="58" t="s">
        <v>95</v>
      </c>
      <c r="D38" s="7">
        <f t="shared" si="2"/>
        <v>0</v>
      </c>
      <c r="E38" s="53">
        <f t="shared" si="3"/>
        <v>11</v>
      </c>
      <c r="F38" s="7">
        <f>VLOOKUP(33,$K$6:$M$39,3,0)</f>
        <v>2E-3</v>
      </c>
      <c r="H38" s="65">
        <f t="shared" si="1"/>
        <v>0</v>
      </c>
      <c r="I38" s="65">
        <v>32</v>
      </c>
      <c r="J38"/>
      <c r="K38" s="34">
        <f t="shared" si="4"/>
        <v>33</v>
      </c>
      <c r="M38" s="68">
        <f xml:space="preserve"> L38 + 0.002</f>
        <v>2E-3</v>
      </c>
      <c r="N38" s="65">
        <f t="shared" si="0"/>
        <v>0</v>
      </c>
      <c r="O38" s="34"/>
    </row>
    <row r="39" spans="2:15" ht="18" thickBot="1">
      <c r="B39" s="34"/>
      <c r="C39" s="59" t="s">
        <v>89</v>
      </c>
      <c r="D39" s="8">
        <f t="shared" si="2"/>
        <v>0</v>
      </c>
      <c r="E39" s="54">
        <f t="shared" si="3"/>
        <v>11</v>
      </c>
      <c r="F39" s="8">
        <f>VLOOKUP(34,$K$6:$M$39,3,0)</f>
        <v>1E-3</v>
      </c>
      <c r="H39" s="65">
        <f t="shared" si="1"/>
        <v>0</v>
      </c>
      <c r="I39" s="65">
        <v>33</v>
      </c>
      <c r="J39"/>
      <c r="K39" s="34">
        <f t="shared" si="4"/>
        <v>34</v>
      </c>
      <c r="M39" s="67">
        <f xml:space="preserve"> L39 + 0.001</f>
        <v>1E-3</v>
      </c>
      <c r="N39" s="65">
        <f t="shared" si="0"/>
        <v>0</v>
      </c>
      <c r="O39" s="34"/>
    </row>
    <row r="40" spans="2:15">
      <c r="C40" s="34"/>
      <c r="D40" s="34"/>
      <c r="F40" s="34"/>
      <c r="H40"/>
      <c r="J40"/>
    </row>
    <row r="41" spans="2:15">
      <c r="C41" s="34"/>
      <c r="D41" s="34"/>
      <c r="H41"/>
      <c r="J41"/>
    </row>
    <row r="42" spans="2:15">
      <c r="C42" s="34"/>
      <c r="D42" s="34"/>
      <c r="H42"/>
      <c r="J42"/>
    </row>
    <row r="43" spans="2:15">
      <c r="C43" s="34"/>
      <c r="D43" s="34"/>
      <c r="H43"/>
      <c r="J43"/>
    </row>
    <row r="44" spans="2:15">
      <c r="C44" s="34"/>
      <c r="D44" s="34"/>
      <c r="H44"/>
      <c r="J44"/>
    </row>
    <row r="45" spans="2:15">
      <c r="C45" s="34"/>
      <c r="D45" s="34"/>
      <c r="H45"/>
      <c r="J45"/>
    </row>
    <row r="46" spans="2:15">
      <c r="C46" s="34"/>
      <c r="D46" s="34"/>
      <c r="H46"/>
      <c r="J46"/>
    </row>
    <row r="47" spans="2:15">
      <c r="C47" s="34"/>
      <c r="D47" s="34"/>
      <c r="H47"/>
      <c r="J47"/>
    </row>
    <row r="48" spans="2:15">
      <c r="C48" s="34"/>
      <c r="D48" s="34"/>
      <c r="H48"/>
      <c r="J48"/>
    </row>
    <row r="49" spans="3:10">
      <c r="C49" s="34"/>
      <c r="H49"/>
      <c r="J49"/>
    </row>
    <row r="50" spans="3:10">
      <c r="C50" s="34"/>
      <c r="H50"/>
      <c r="J50"/>
    </row>
    <row r="51" spans="3:10">
      <c r="C51" s="34"/>
      <c r="H51"/>
      <c r="J51"/>
    </row>
    <row r="52" spans="3:10">
      <c r="C52" s="34"/>
      <c r="H52"/>
      <c r="J52"/>
    </row>
    <row r="53" spans="3:10">
      <c r="C53" s="34"/>
      <c r="H53"/>
    </row>
    <row r="54" spans="3:10">
      <c r="C54" s="34"/>
    </row>
    <row r="55" spans="3:10">
      <c r="C55" s="34"/>
    </row>
    <row r="56" spans="3:10">
      <c r="C56" s="34"/>
    </row>
    <row r="57" spans="3:10">
      <c r="C57" s="34"/>
    </row>
    <row r="58" spans="3:10">
      <c r="C58" s="34"/>
    </row>
    <row r="59" spans="3:10">
      <c r="C59" s="34"/>
    </row>
    <row r="60" spans="3:10">
      <c r="C60" s="34"/>
    </row>
    <row r="61" spans="3:10">
      <c r="C61" s="34"/>
    </row>
    <row r="62" spans="3:10">
      <c r="C62" s="34"/>
    </row>
    <row r="63" spans="3:10">
      <c r="C63" s="34"/>
    </row>
    <row r="64" spans="3:10">
      <c r="C64" s="34"/>
    </row>
    <row r="65" spans="3:3">
      <c r="C65" s="34"/>
    </row>
    <row r="66" spans="3:3">
      <c r="C66" s="34"/>
    </row>
    <row r="67" spans="3:3">
      <c r="C67" s="34"/>
    </row>
    <row r="68" spans="3:3">
      <c r="C68" s="34"/>
    </row>
    <row r="69" spans="3:3">
      <c r="C69" s="34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</sheetData>
  <mergeCells count="1">
    <mergeCell ref="B2:O2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R3794"/>
  <sheetViews>
    <sheetView showGridLines="0" zoomScale="70" zoomScaleNormal="70" zoomScalePageLayoutView="70" workbookViewId="0">
      <selection activeCell="C1" sqref="B1:S1048576"/>
    </sheetView>
  </sheetViews>
  <sheetFormatPr defaultRowHeight="15"/>
  <cols>
    <col min="1" max="1" width="4.28515625" customWidth="1"/>
    <col min="2" max="3" width="17.7109375" customWidth="1"/>
    <col min="4" max="7" width="17.7109375" style="34" customWidth="1"/>
    <col min="8" max="9" width="17.7109375" customWidth="1"/>
    <col min="10" max="17" width="17.7109375" style="34" customWidth="1"/>
    <col min="18" max="19" width="17.7109375" customWidth="1"/>
    <col min="20" max="43" width="15.7109375" customWidth="1"/>
    <col min="44" max="127" width="17.7109375" customWidth="1"/>
    <col min="128" max="235" width="15.7109375" customWidth="1"/>
    <col min="236" max="297" width="16.7109375" customWidth="1"/>
    <col min="298" max="298" width="17.28515625" bestFit="1" customWidth="1"/>
    <col min="299" max="299" width="14.85546875" bestFit="1" customWidth="1"/>
    <col min="300" max="300" width="13.140625" customWidth="1"/>
    <col min="301" max="301" width="18.140625" bestFit="1" customWidth="1"/>
    <col min="302" max="302" width="12.42578125" bestFit="1" customWidth="1"/>
    <col min="303" max="303" width="16.85546875" bestFit="1" customWidth="1"/>
    <col min="304" max="304" width="14.85546875" bestFit="1" customWidth="1"/>
    <col min="305" max="305" width="15.42578125" bestFit="1" customWidth="1"/>
    <col min="306" max="306" width="17.42578125" bestFit="1" customWidth="1"/>
    <col min="307" max="307" width="18.140625" bestFit="1" customWidth="1"/>
    <col min="308" max="308" width="6.7109375" bestFit="1" customWidth="1"/>
    <col min="309" max="309" width="15.85546875" bestFit="1" customWidth="1"/>
    <col min="310" max="310" width="17.28515625" bestFit="1" customWidth="1"/>
    <col min="311" max="311" width="14.85546875" bestFit="1" customWidth="1"/>
    <col min="312" max="312" width="13.140625" customWidth="1"/>
    <col min="313" max="313" width="18.140625" bestFit="1" customWidth="1"/>
    <col min="314" max="314" width="12.42578125" bestFit="1" customWidth="1"/>
    <col min="315" max="315" width="16.85546875" bestFit="1" customWidth="1"/>
    <col min="316" max="316" width="14.85546875" bestFit="1" customWidth="1"/>
    <col min="317" max="317" width="15.42578125" bestFit="1" customWidth="1"/>
    <col min="318" max="318" width="17.42578125" bestFit="1" customWidth="1"/>
    <col min="319" max="319" width="18.140625" bestFit="1" customWidth="1"/>
    <col min="320" max="320" width="6.7109375" bestFit="1" customWidth="1"/>
    <col min="321" max="321" width="15.85546875" bestFit="1" customWidth="1"/>
    <col min="322" max="322" width="17.28515625" bestFit="1" customWidth="1"/>
    <col min="323" max="323" width="14.85546875" bestFit="1" customWidth="1"/>
    <col min="324" max="324" width="13.140625" customWidth="1"/>
    <col min="325" max="325" width="18.140625" bestFit="1" customWidth="1"/>
    <col min="326" max="326" width="12.42578125" bestFit="1" customWidth="1"/>
    <col min="327" max="327" width="16.85546875" bestFit="1" customWidth="1"/>
    <col min="328" max="328" width="14.85546875" bestFit="1" customWidth="1"/>
    <col min="329" max="329" width="15.42578125" bestFit="1" customWidth="1"/>
    <col min="330" max="330" width="17.42578125" bestFit="1" customWidth="1"/>
    <col min="331" max="331" width="18.140625" bestFit="1" customWidth="1"/>
    <col min="332" max="332" width="6.7109375" bestFit="1" customWidth="1"/>
    <col min="333" max="333" width="15.7109375" bestFit="1" customWidth="1"/>
    <col min="334" max="334" width="15.42578125" bestFit="1" customWidth="1"/>
    <col min="335" max="335" width="14.5703125" bestFit="1" customWidth="1"/>
    <col min="336" max="336" width="13" bestFit="1" customWidth="1"/>
    <col min="337" max="337" width="12.85546875" bestFit="1" customWidth="1"/>
    <col min="338" max="338" width="12.42578125" bestFit="1" customWidth="1"/>
    <col min="339" max="339" width="14.85546875" bestFit="1" customWidth="1"/>
    <col min="340" max="340" width="14.5703125" bestFit="1" customWidth="1"/>
    <col min="341" max="341" width="15.28515625" bestFit="1" customWidth="1"/>
    <col min="342" max="343" width="12.85546875" bestFit="1" customWidth="1"/>
    <col min="344" max="344" width="6.7109375" bestFit="1" customWidth="1"/>
    <col min="345" max="381" width="11.140625" customWidth="1"/>
    <col min="382" max="382" width="14" bestFit="1" customWidth="1"/>
    <col min="383" max="383" width="13.140625" bestFit="1" customWidth="1"/>
    <col min="384" max="391" width="13.140625" customWidth="1"/>
    <col min="392" max="392" width="11" bestFit="1" customWidth="1"/>
    <col min="393" max="393" width="15.85546875" bestFit="1" customWidth="1"/>
    <col min="394" max="394" width="15.7109375" bestFit="1" customWidth="1"/>
    <col min="395" max="395" width="17.28515625" bestFit="1" customWidth="1"/>
    <col min="396" max="396" width="14.85546875" bestFit="1" customWidth="1"/>
    <col min="397" max="397" width="13.140625" customWidth="1"/>
    <col min="398" max="398" width="18.140625" bestFit="1" customWidth="1"/>
    <col min="399" max="399" width="12.42578125" bestFit="1" customWidth="1"/>
    <col min="400" max="400" width="16.85546875" bestFit="1" customWidth="1"/>
    <col min="401" max="401" width="14.85546875" bestFit="1" customWidth="1"/>
    <col min="402" max="402" width="15.42578125" bestFit="1" customWidth="1"/>
    <col min="403" max="403" width="17.42578125" bestFit="1" customWidth="1"/>
    <col min="404" max="404" width="18.140625" bestFit="1" customWidth="1"/>
    <col min="405" max="405" width="6.7109375" bestFit="1" customWidth="1"/>
    <col min="406" max="406" width="15.85546875" bestFit="1" customWidth="1"/>
    <col min="407" max="407" width="17.28515625" bestFit="1" customWidth="1"/>
    <col min="408" max="408" width="14.85546875" bestFit="1" customWidth="1"/>
    <col min="409" max="409" width="13.140625" customWidth="1"/>
    <col min="410" max="410" width="18.140625" bestFit="1" customWidth="1"/>
    <col min="411" max="411" width="12.42578125" bestFit="1" customWidth="1"/>
    <col min="412" max="412" width="16.85546875" bestFit="1" customWidth="1"/>
    <col min="413" max="413" width="14.85546875" bestFit="1" customWidth="1"/>
    <col min="414" max="414" width="15.42578125" bestFit="1" customWidth="1"/>
    <col min="415" max="415" width="17.42578125" bestFit="1" customWidth="1"/>
    <col min="416" max="416" width="18.140625" bestFit="1" customWidth="1"/>
    <col min="417" max="417" width="6.7109375" bestFit="1" customWidth="1"/>
    <col min="418" max="418" width="15.85546875" bestFit="1" customWidth="1"/>
    <col min="419" max="419" width="15.7109375" bestFit="1" customWidth="1"/>
    <col min="420" max="420" width="14.85546875" bestFit="1" customWidth="1"/>
    <col min="421" max="421" width="13" bestFit="1" customWidth="1"/>
    <col min="422" max="422" width="12.85546875" bestFit="1" customWidth="1"/>
    <col min="423" max="423" width="12.42578125" bestFit="1" customWidth="1"/>
    <col min="424" max="424" width="15" bestFit="1" customWidth="1"/>
    <col min="425" max="425" width="14.85546875" bestFit="1" customWidth="1"/>
    <col min="426" max="426" width="15.42578125" bestFit="1" customWidth="1"/>
    <col min="427" max="428" width="12.85546875" bestFit="1" customWidth="1"/>
    <col min="429" max="429" width="6.7109375" bestFit="1" customWidth="1"/>
    <col min="430" max="814" width="11.140625" customWidth="1"/>
    <col min="815" max="815" width="14" bestFit="1" customWidth="1"/>
    <col min="816" max="816" width="13.140625" bestFit="1" customWidth="1"/>
    <col min="817" max="824" width="13.140625" customWidth="1"/>
    <col min="825" max="825" width="11" bestFit="1" customWidth="1"/>
    <col min="826" max="826" width="15.85546875" bestFit="1" customWidth="1"/>
    <col min="827" max="827" width="15.7109375" bestFit="1" customWidth="1"/>
    <col min="828" max="828" width="14.85546875" bestFit="1" customWidth="1"/>
    <col min="829" max="829" width="13" bestFit="1" customWidth="1"/>
    <col min="830" max="830" width="12.85546875" bestFit="1" customWidth="1"/>
    <col min="831" max="831" width="12.42578125" bestFit="1" customWidth="1"/>
    <col min="832" max="832" width="15" bestFit="1" customWidth="1"/>
    <col min="833" max="833" width="14.85546875" bestFit="1" customWidth="1"/>
    <col min="834" max="834" width="15.42578125" bestFit="1" customWidth="1"/>
    <col min="835" max="836" width="12.85546875" bestFit="1" customWidth="1"/>
    <col min="837" max="837" width="9.42578125" customWidth="1"/>
    <col min="838" max="862" width="11.140625" customWidth="1"/>
    <col min="863" max="863" width="14" bestFit="1" customWidth="1"/>
    <col min="864" max="864" width="13.140625" bestFit="1" customWidth="1"/>
    <col min="865" max="872" width="13.140625" customWidth="1"/>
    <col min="873" max="873" width="11" bestFit="1" customWidth="1"/>
    <col min="874" max="875" width="10.28515625" bestFit="1" customWidth="1"/>
    <col min="876" max="876" width="9.140625" bestFit="1" customWidth="1"/>
    <col min="877" max="877" width="13" bestFit="1" customWidth="1"/>
    <col min="878" max="878" width="12.85546875" bestFit="1" customWidth="1"/>
    <col min="879" max="879" width="12.42578125" bestFit="1" customWidth="1"/>
    <col min="880" max="880" width="13.140625" bestFit="1" customWidth="1"/>
    <col min="881" max="881" width="11.140625" bestFit="1" customWidth="1"/>
    <col min="882" max="882" width="14.28515625" bestFit="1" customWidth="1"/>
    <col min="883" max="884" width="12.85546875" bestFit="1" customWidth="1"/>
    <col min="885" max="885" width="6.7109375" bestFit="1" customWidth="1"/>
    <col min="886" max="993" width="10.140625" customWidth="1"/>
    <col min="1012" max="1012" width="5.7109375" customWidth="1"/>
    <col min="1013" max="1017" width="20" customWidth="1"/>
    <col min="1018" max="1308" width="10.28515625" customWidth="1"/>
    <col min="1309" max="1309" width="11.85546875" customWidth="1"/>
    <col min="1310" max="1321" width="13.42578125" customWidth="1"/>
    <col min="1322" max="1322" width="13.5703125" customWidth="1"/>
    <col min="1323" max="1323" width="12.140625" customWidth="1"/>
    <col min="1324" max="1324" width="15.7109375" customWidth="1"/>
    <col min="1325" max="1326" width="11.5703125" customWidth="1"/>
    <col min="1327" max="1328" width="13.28515625" customWidth="1"/>
    <col min="1329" max="1329" width="16.7109375" customWidth="1"/>
    <col min="1330" max="1330" width="12.7109375" customWidth="1"/>
    <col min="1331" max="1331" width="14.85546875" customWidth="1"/>
    <col min="1332" max="1333" width="14.42578125" customWidth="1"/>
    <col min="1334" max="1334" width="14.85546875" customWidth="1"/>
  </cols>
  <sheetData>
    <row r="1" spans="1:18" ht="15.75" thickBot="1">
      <c r="A1" s="34"/>
      <c r="B1" s="34"/>
      <c r="C1" s="34"/>
      <c r="H1" s="34"/>
      <c r="I1" s="34"/>
      <c r="R1" s="34"/>
    </row>
    <row r="2" spans="1:18" ht="40.5" customHeight="1" thickBot="1">
      <c r="A2" s="35"/>
      <c r="B2" s="107" t="s">
        <v>128</v>
      </c>
      <c r="C2" s="108"/>
      <c r="D2" s="108"/>
      <c r="E2" s="108"/>
      <c r="F2" s="108"/>
      <c r="G2" s="108"/>
      <c r="H2" s="108"/>
      <c r="I2" s="109"/>
      <c r="J2" s="109"/>
      <c r="K2" s="109"/>
      <c r="L2" s="109"/>
      <c r="M2" s="109"/>
      <c r="N2" s="109"/>
      <c r="O2" s="109"/>
      <c r="P2" s="109"/>
      <c r="Q2" s="109"/>
      <c r="R2" s="109"/>
    </row>
    <row r="3" spans="1:18">
      <c r="A3" s="34"/>
      <c r="B3" s="34"/>
      <c r="C3" s="34"/>
      <c r="H3" s="34"/>
      <c r="I3" s="34"/>
      <c r="R3" s="34"/>
    </row>
    <row r="4" spans="1:18" ht="18" customHeight="1">
      <c r="A4" s="34"/>
      <c r="B4" s="34"/>
      <c r="C4" s="34"/>
      <c r="H4" s="34"/>
      <c r="I4" s="34"/>
      <c r="R4" s="34"/>
    </row>
    <row r="5" spans="1:18" ht="15.75" thickBot="1">
      <c r="A5" s="34"/>
      <c r="B5" s="34"/>
      <c r="C5" s="34"/>
      <c r="H5" s="34"/>
      <c r="I5" s="34"/>
      <c r="R5" s="34"/>
    </row>
    <row r="6" spans="1:18" ht="24" thickBot="1">
      <c r="A6" s="34"/>
      <c r="B6" s="36"/>
      <c r="C6" s="180" t="s">
        <v>0</v>
      </c>
      <c r="D6" s="111"/>
      <c r="E6" s="111"/>
      <c r="F6" s="111"/>
      <c r="G6" s="111"/>
      <c r="H6" s="184"/>
      <c r="I6" s="180" t="s">
        <v>1</v>
      </c>
      <c r="J6" s="111"/>
      <c r="K6" s="111"/>
      <c r="L6" s="111"/>
      <c r="M6" s="111"/>
      <c r="N6" s="111"/>
      <c r="O6" s="111"/>
      <c r="P6" s="111"/>
      <c r="Q6" s="111"/>
      <c r="R6" s="184"/>
    </row>
    <row r="7" spans="1:18" ht="73.5" customHeight="1" thickBot="1">
      <c r="A7" s="34"/>
      <c r="B7" s="175"/>
      <c r="C7" s="181" t="s">
        <v>68</v>
      </c>
      <c r="D7" s="49" t="s">
        <v>2</v>
      </c>
      <c r="E7" s="49" t="s">
        <v>69</v>
      </c>
      <c r="F7" s="49" t="s">
        <v>70</v>
      </c>
      <c r="G7" s="49" t="s">
        <v>71</v>
      </c>
      <c r="H7" s="185" t="s">
        <v>4</v>
      </c>
      <c r="I7" s="181" t="s">
        <v>5</v>
      </c>
      <c r="J7" s="49" t="s">
        <v>59</v>
      </c>
      <c r="K7" s="49" t="s">
        <v>6</v>
      </c>
      <c r="L7" s="49" t="s">
        <v>60</v>
      </c>
      <c r="M7" s="49" t="s">
        <v>7</v>
      </c>
      <c r="N7" s="49" t="s">
        <v>8</v>
      </c>
      <c r="O7" s="49" t="s">
        <v>72</v>
      </c>
      <c r="P7" s="49" t="s">
        <v>9</v>
      </c>
      <c r="Q7" s="49" t="s">
        <v>10</v>
      </c>
      <c r="R7" s="185" t="s">
        <v>58</v>
      </c>
    </row>
    <row r="8" spans="1:18">
      <c r="A8" s="34"/>
      <c r="B8" s="176" t="s">
        <v>114</v>
      </c>
      <c r="C8" s="176"/>
      <c r="D8" s="41"/>
      <c r="E8" s="41"/>
      <c r="F8" s="41"/>
      <c r="G8" s="41"/>
      <c r="H8" s="171"/>
      <c r="I8" s="176"/>
      <c r="J8" s="41"/>
      <c r="K8" s="41"/>
      <c r="L8" s="41"/>
      <c r="M8" s="41"/>
      <c r="N8" s="41"/>
      <c r="O8" s="41"/>
      <c r="P8" s="41"/>
      <c r="Q8" s="41"/>
      <c r="R8" s="171"/>
    </row>
    <row r="9" spans="1:18" ht="15.75" thickBot="1">
      <c r="A9" s="34"/>
      <c r="B9" s="177">
        <v>42395</v>
      </c>
      <c r="C9" s="182">
        <v>763</v>
      </c>
      <c r="D9" s="172">
        <v>179</v>
      </c>
      <c r="E9" s="172">
        <v>174</v>
      </c>
      <c r="F9" s="172">
        <v>1049</v>
      </c>
      <c r="G9" s="172">
        <v>2209</v>
      </c>
      <c r="H9" s="173">
        <v>399882</v>
      </c>
      <c r="I9" s="187">
        <v>824</v>
      </c>
      <c r="J9" s="17">
        <v>457</v>
      </c>
      <c r="K9" s="17">
        <v>2344</v>
      </c>
      <c r="L9" s="17">
        <v>771</v>
      </c>
      <c r="M9" s="17">
        <v>2.8446601941699998</v>
      </c>
      <c r="N9" s="17">
        <v>34.162520729699999</v>
      </c>
      <c r="O9" s="17">
        <v>40.643344709899999</v>
      </c>
      <c r="P9" s="17">
        <v>5.5797101449299999</v>
      </c>
      <c r="Q9" s="17">
        <v>8.2971014492799995</v>
      </c>
      <c r="R9" s="173">
        <v>209399064.00001231</v>
      </c>
    </row>
    <row r="10" spans="1:18">
      <c r="A10" s="34"/>
      <c r="B10" s="178" t="s">
        <v>57</v>
      </c>
      <c r="C10" s="178"/>
      <c r="D10" s="44"/>
      <c r="E10" s="44"/>
      <c r="F10" s="44"/>
      <c r="G10" s="44"/>
      <c r="H10" s="186"/>
      <c r="I10" s="188"/>
      <c r="J10" s="19"/>
      <c r="K10" s="19"/>
      <c r="L10" s="19"/>
      <c r="M10" s="19"/>
      <c r="N10" s="19"/>
      <c r="O10" s="19"/>
      <c r="P10" s="19"/>
      <c r="Q10" s="19"/>
      <c r="R10" s="174"/>
    </row>
    <row r="11" spans="1:18" ht="15.75" thickBot="1">
      <c r="A11" s="34"/>
      <c r="B11" s="179">
        <v>42381</v>
      </c>
      <c r="C11" s="183">
        <v>765</v>
      </c>
      <c r="D11" s="48">
        <v>252</v>
      </c>
      <c r="E11" s="48">
        <v>209</v>
      </c>
      <c r="F11" s="48">
        <v>1274</v>
      </c>
      <c r="G11" s="48">
        <v>2638</v>
      </c>
      <c r="H11" s="173">
        <v>454481</v>
      </c>
      <c r="I11" s="183">
        <v>782</v>
      </c>
      <c r="J11" s="48">
        <v>430</v>
      </c>
      <c r="K11" s="48">
        <v>2420</v>
      </c>
      <c r="L11" s="48">
        <v>682</v>
      </c>
      <c r="M11" s="48">
        <v>3.0946291560099999</v>
      </c>
      <c r="N11" s="48">
        <v>32.815778430500004</v>
      </c>
      <c r="O11" s="48">
        <v>46.707024793400002</v>
      </c>
      <c r="P11" s="48">
        <v>1.2427184466000001</v>
      </c>
      <c r="Q11" s="48">
        <v>3.76699029126</v>
      </c>
      <c r="R11" s="173">
        <v>243807867.00006041</v>
      </c>
    </row>
    <row r="12" spans="1:18" s="34" customFormat="1">
      <c r="B12" s="178" t="s">
        <v>14</v>
      </c>
      <c r="C12" s="178"/>
      <c r="D12" s="44"/>
      <c r="E12" s="44"/>
      <c r="F12" s="44"/>
      <c r="G12" s="44"/>
      <c r="H12" s="186"/>
      <c r="I12" s="188"/>
      <c r="J12" s="19"/>
      <c r="K12" s="19"/>
      <c r="L12" s="19"/>
      <c r="M12" s="19"/>
      <c r="N12" s="19"/>
      <c r="O12" s="19"/>
      <c r="P12" s="19"/>
      <c r="Q12" s="19"/>
      <c r="R12" s="174"/>
    </row>
    <row r="13" spans="1:18" s="34" customFormat="1" ht="15.75" thickBot="1">
      <c r="B13" s="179">
        <v>42374</v>
      </c>
      <c r="C13" s="183">
        <v>938</v>
      </c>
      <c r="D13" s="48">
        <v>236</v>
      </c>
      <c r="E13" s="48">
        <v>235</v>
      </c>
      <c r="F13" s="48">
        <v>1215</v>
      </c>
      <c r="G13" s="48">
        <v>2101</v>
      </c>
      <c r="H13" s="173">
        <v>423926</v>
      </c>
      <c r="I13" s="183">
        <v>571</v>
      </c>
      <c r="J13" s="48">
        <v>368</v>
      </c>
      <c r="K13" s="48">
        <v>1715</v>
      </c>
      <c r="L13" s="48">
        <v>547</v>
      </c>
      <c r="M13" s="48">
        <v>3.00350262697</v>
      </c>
      <c r="N13" s="48">
        <v>27.203430204899998</v>
      </c>
      <c r="O13" s="48">
        <v>60.123615160299998</v>
      </c>
      <c r="P13" s="48">
        <v>2.6941362916</v>
      </c>
      <c r="Q13" s="48">
        <v>4.8071843634400002</v>
      </c>
      <c r="R13" s="173">
        <v>165030755.99986315</v>
      </c>
    </row>
    <row r="14" spans="1:18" s="34" customFormat="1">
      <c r="B14" s="178" t="s">
        <v>15</v>
      </c>
      <c r="C14" s="178"/>
      <c r="D14" s="44"/>
      <c r="E14" s="44"/>
      <c r="F14" s="44"/>
      <c r="G14" s="44"/>
      <c r="H14" s="186"/>
      <c r="I14" s="188"/>
      <c r="J14" s="19"/>
      <c r="K14" s="19"/>
      <c r="L14" s="19"/>
      <c r="M14" s="19"/>
      <c r="N14" s="19"/>
      <c r="O14" s="19"/>
      <c r="P14" s="19"/>
      <c r="Q14" s="19"/>
      <c r="R14" s="174"/>
    </row>
    <row r="15" spans="1:18" s="34" customFormat="1" ht="15.75" thickBot="1">
      <c r="B15" s="179">
        <v>42388</v>
      </c>
      <c r="C15" s="183">
        <v>529</v>
      </c>
      <c r="D15" s="48">
        <v>149</v>
      </c>
      <c r="E15" s="48">
        <v>153</v>
      </c>
      <c r="F15" s="48">
        <v>953</v>
      </c>
      <c r="G15" s="48">
        <v>2293</v>
      </c>
      <c r="H15" s="173">
        <v>316076</v>
      </c>
      <c r="I15" s="183">
        <v>763</v>
      </c>
      <c r="J15" s="48">
        <v>378</v>
      </c>
      <c r="K15" s="48">
        <v>2442</v>
      </c>
      <c r="L15" s="48">
        <v>700</v>
      </c>
      <c r="M15" s="48">
        <v>3.2005242464000001</v>
      </c>
      <c r="N15" s="48">
        <v>33.116319444399998</v>
      </c>
      <c r="O15" s="48">
        <v>29.870597870600001</v>
      </c>
      <c r="P15" s="48">
        <v>2.1837349397599999</v>
      </c>
      <c r="Q15" s="48">
        <v>5.0451807228899996</v>
      </c>
      <c r="R15" s="173">
        <v>156209576.00001115</v>
      </c>
    </row>
    <row r="16" spans="1:18" s="34" customFormat="1">
      <c r="B16" s="178" t="s">
        <v>20</v>
      </c>
      <c r="C16" s="178"/>
      <c r="D16" s="44"/>
      <c r="E16" s="44"/>
      <c r="F16" s="44"/>
      <c r="G16" s="44"/>
      <c r="H16" s="186"/>
      <c r="I16" s="188"/>
      <c r="J16" s="19"/>
      <c r="K16" s="19"/>
      <c r="L16" s="19"/>
      <c r="M16" s="19"/>
      <c r="N16" s="19"/>
      <c r="O16" s="19"/>
      <c r="P16" s="19"/>
      <c r="Q16" s="19"/>
      <c r="R16" s="174"/>
    </row>
    <row r="17" spans="2:18" s="34" customFormat="1" ht="15.75" thickBot="1">
      <c r="B17" s="179">
        <v>42395</v>
      </c>
      <c r="C17" s="183">
        <v>301</v>
      </c>
      <c r="D17" s="48">
        <v>38</v>
      </c>
      <c r="E17" s="48">
        <v>32</v>
      </c>
      <c r="F17" s="48">
        <v>282</v>
      </c>
      <c r="G17" s="48">
        <v>263</v>
      </c>
      <c r="H17" s="173">
        <v>78553</v>
      </c>
      <c r="I17" s="183">
        <v>84</v>
      </c>
      <c r="J17" s="48">
        <v>80</v>
      </c>
      <c r="K17" s="48">
        <v>205</v>
      </c>
      <c r="L17" s="48">
        <v>153</v>
      </c>
      <c r="M17" s="48">
        <v>2.4404761904800001</v>
      </c>
      <c r="N17" s="48">
        <v>39.8104265403</v>
      </c>
      <c r="O17" s="48">
        <v>114.580487805</v>
      </c>
      <c r="P17" s="48">
        <v>7.6190476190499998</v>
      </c>
      <c r="Q17" s="48">
        <v>23.174603174600001</v>
      </c>
      <c r="R17" s="173">
        <v>6130629.0000065258</v>
      </c>
    </row>
    <row r="18" spans="2:18" s="34" customFormat="1">
      <c r="B18" s="178" t="s">
        <v>16</v>
      </c>
      <c r="C18" s="178"/>
      <c r="D18" s="44"/>
      <c r="E18" s="44"/>
      <c r="F18" s="44"/>
      <c r="G18" s="44"/>
      <c r="H18" s="186"/>
      <c r="I18" s="188"/>
      <c r="J18" s="19"/>
      <c r="K18" s="19"/>
      <c r="L18" s="19"/>
      <c r="M18" s="19"/>
      <c r="N18" s="19"/>
      <c r="O18" s="19"/>
      <c r="P18" s="19"/>
      <c r="Q18" s="19"/>
      <c r="R18" s="174"/>
    </row>
    <row r="19" spans="2:18" s="34" customFormat="1" ht="15.75" thickBot="1">
      <c r="B19" s="179">
        <v>42388</v>
      </c>
      <c r="C19" s="183">
        <v>113</v>
      </c>
      <c r="D19" s="48">
        <v>29</v>
      </c>
      <c r="E19" s="48">
        <v>34</v>
      </c>
      <c r="F19" s="48">
        <v>242</v>
      </c>
      <c r="G19" s="48">
        <v>237</v>
      </c>
      <c r="H19" s="173">
        <v>62864</v>
      </c>
      <c r="I19" s="183">
        <v>62</v>
      </c>
      <c r="J19" s="48">
        <v>56</v>
      </c>
      <c r="K19" s="48">
        <v>148</v>
      </c>
      <c r="L19" s="48">
        <v>88</v>
      </c>
      <c r="M19" s="48">
        <v>2.3870967741900002</v>
      </c>
      <c r="N19" s="48">
        <v>33.513513513500001</v>
      </c>
      <c r="O19" s="48">
        <v>108</v>
      </c>
      <c r="P19" s="48">
        <v>5.1282051282100003</v>
      </c>
      <c r="Q19" s="48">
        <v>16.923076923099998</v>
      </c>
      <c r="R19" s="173">
        <v>2829168</v>
      </c>
    </row>
    <row r="20" spans="2:18" s="34" customFormat="1">
      <c r="B20" s="178" t="s">
        <v>17</v>
      </c>
      <c r="C20" s="178"/>
      <c r="D20" s="44"/>
      <c r="E20" s="44"/>
      <c r="F20" s="44"/>
      <c r="G20" s="44"/>
      <c r="H20" s="186"/>
      <c r="I20" s="188"/>
      <c r="J20" s="19"/>
      <c r="K20" s="19"/>
      <c r="L20" s="19"/>
      <c r="M20" s="19"/>
      <c r="N20" s="19"/>
      <c r="O20" s="19"/>
      <c r="P20" s="19"/>
      <c r="Q20" s="19"/>
      <c r="R20" s="174"/>
    </row>
    <row r="21" spans="2:18" s="34" customFormat="1" ht="15.75" thickBot="1">
      <c r="B21" s="179">
        <v>42381</v>
      </c>
      <c r="C21" s="183">
        <v>101</v>
      </c>
      <c r="D21" s="48">
        <v>24</v>
      </c>
      <c r="E21" s="48">
        <v>15</v>
      </c>
      <c r="F21" s="48">
        <v>186</v>
      </c>
      <c r="G21" s="48">
        <v>189</v>
      </c>
      <c r="H21" s="173">
        <v>93471</v>
      </c>
      <c r="I21" s="183">
        <v>48</v>
      </c>
      <c r="J21" s="48">
        <v>47</v>
      </c>
      <c r="K21" s="48">
        <v>116</v>
      </c>
      <c r="L21" s="48">
        <v>84</v>
      </c>
      <c r="M21" s="48">
        <v>2.4166666666699999</v>
      </c>
      <c r="N21" s="48">
        <v>24.742268041199999</v>
      </c>
      <c r="O21" s="48">
        <v>116.49137931</v>
      </c>
      <c r="P21" s="48">
        <v>3.5502958579900001</v>
      </c>
      <c r="Q21" s="48">
        <v>22.4852071006</v>
      </c>
      <c r="R21" s="173">
        <v>1993167.4999941001</v>
      </c>
    </row>
    <row r="22" spans="2:18" s="34" customFormat="1">
      <c r="B22" s="178" t="s">
        <v>18</v>
      </c>
      <c r="C22" s="178"/>
      <c r="D22" s="44"/>
      <c r="E22" s="44"/>
      <c r="F22" s="44"/>
      <c r="G22" s="44"/>
      <c r="H22" s="186"/>
      <c r="I22" s="188"/>
      <c r="J22" s="19"/>
      <c r="K22" s="19"/>
      <c r="L22" s="19"/>
      <c r="M22" s="19"/>
      <c r="N22" s="19"/>
      <c r="O22" s="19"/>
      <c r="P22" s="19"/>
      <c r="Q22" s="19"/>
      <c r="R22" s="174"/>
    </row>
    <row r="23" spans="2:18" s="34" customFormat="1" ht="15.75" thickBot="1">
      <c r="B23" s="179">
        <v>42374</v>
      </c>
      <c r="C23" s="183">
        <v>121</v>
      </c>
      <c r="D23" s="48">
        <v>26</v>
      </c>
      <c r="E23" s="48">
        <v>22</v>
      </c>
      <c r="F23" s="48">
        <v>211</v>
      </c>
      <c r="G23" s="48">
        <v>156</v>
      </c>
      <c r="H23" s="173">
        <v>100093</v>
      </c>
      <c r="I23" s="183">
        <v>51</v>
      </c>
      <c r="J23" s="48">
        <v>50</v>
      </c>
      <c r="K23" s="48">
        <v>99</v>
      </c>
      <c r="L23" s="48">
        <v>78</v>
      </c>
      <c r="M23" s="48">
        <v>1.9411764705900001</v>
      </c>
      <c r="N23" s="48">
        <v>25.757575757600002</v>
      </c>
      <c r="O23" s="48">
        <v>129.85858585899999</v>
      </c>
      <c r="P23" s="48">
        <v>12.426035503</v>
      </c>
      <c r="Q23" s="48">
        <v>23.076923076900002</v>
      </c>
      <c r="R23" s="173">
        <v>1786984.0000056988</v>
      </c>
    </row>
    <row r="24" spans="2:18" s="34" customFormat="1">
      <c r="B24" s="178" t="s">
        <v>11</v>
      </c>
      <c r="C24" s="178"/>
      <c r="D24" s="44"/>
      <c r="E24" s="44"/>
      <c r="F24" s="44"/>
      <c r="G24" s="44"/>
      <c r="H24" s="186"/>
      <c r="I24" s="188"/>
      <c r="J24" s="19"/>
      <c r="K24" s="19"/>
      <c r="L24" s="19"/>
      <c r="M24" s="19"/>
      <c r="N24" s="19"/>
      <c r="O24" s="19"/>
      <c r="P24" s="19"/>
      <c r="Q24" s="19"/>
      <c r="R24" s="174"/>
    </row>
    <row r="25" spans="2:18" s="34" customFormat="1" ht="15.75" thickBot="1">
      <c r="B25" s="179">
        <v>42395</v>
      </c>
      <c r="C25" s="183">
        <v>23</v>
      </c>
      <c r="D25" s="48">
        <v>2</v>
      </c>
      <c r="E25" s="48">
        <v>4</v>
      </c>
      <c r="F25" s="48">
        <v>16</v>
      </c>
      <c r="G25" s="48">
        <v>11</v>
      </c>
      <c r="H25" s="173">
        <v>18859</v>
      </c>
      <c r="I25" s="183">
        <v>5</v>
      </c>
      <c r="J25" s="48">
        <v>5</v>
      </c>
      <c r="K25" s="48">
        <v>12</v>
      </c>
      <c r="L25" s="48">
        <v>10</v>
      </c>
      <c r="M25" s="48">
        <v>2.4</v>
      </c>
      <c r="N25" s="48">
        <v>15.1515151515</v>
      </c>
      <c r="O25" s="48">
        <v>488.33333333299998</v>
      </c>
      <c r="P25" s="48">
        <v>0</v>
      </c>
      <c r="Q25" s="48">
        <v>0</v>
      </c>
      <c r="R25" s="173">
        <v>93759.999999936001</v>
      </c>
    </row>
    <row r="26" spans="2:18" s="34" customFormat="1">
      <c r="B26" s="178" t="s">
        <v>12</v>
      </c>
      <c r="C26" s="178"/>
      <c r="D26" s="44"/>
      <c r="E26" s="44"/>
      <c r="F26" s="44"/>
      <c r="G26" s="44"/>
      <c r="H26" s="186"/>
      <c r="I26" s="188"/>
      <c r="J26" s="19"/>
      <c r="K26" s="19"/>
      <c r="L26" s="19"/>
      <c r="M26" s="19"/>
      <c r="N26" s="19"/>
      <c r="O26" s="19"/>
      <c r="P26" s="19"/>
      <c r="Q26" s="19"/>
      <c r="R26" s="174"/>
    </row>
    <row r="27" spans="2:18" s="34" customFormat="1" ht="15.75" thickBot="1">
      <c r="B27" s="179">
        <v>42374</v>
      </c>
      <c r="C27" s="183">
        <v>34</v>
      </c>
      <c r="D27" s="48">
        <v>5</v>
      </c>
      <c r="E27" s="48">
        <v>13</v>
      </c>
      <c r="F27" s="48">
        <v>27</v>
      </c>
      <c r="G27" s="48">
        <v>19</v>
      </c>
      <c r="H27" s="173">
        <v>26354</v>
      </c>
      <c r="I27" s="183">
        <v>5</v>
      </c>
      <c r="J27" s="48">
        <v>2</v>
      </c>
      <c r="K27" s="48">
        <v>10</v>
      </c>
      <c r="L27" s="48">
        <v>3</v>
      </c>
      <c r="M27" s="48">
        <v>2</v>
      </c>
      <c r="N27" s="48">
        <v>9.2592592592600003</v>
      </c>
      <c r="O27" s="48">
        <v>549.70000000000005</v>
      </c>
      <c r="P27" s="48">
        <v>0</v>
      </c>
      <c r="Q27" s="48">
        <v>0</v>
      </c>
      <c r="R27" s="173">
        <v>54970</v>
      </c>
    </row>
    <row r="28" spans="2:18" s="34" customFormat="1">
      <c r="B28" s="178" t="s">
        <v>13</v>
      </c>
      <c r="C28" s="178"/>
      <c r="D28" s="44"/>
      <c r="E28" s="44"/>
      <c r="F28" s="44"/>
      <c r="G28" s="44"/>
      <c r="H28" s="186"/>
      <c r="I28" s="188"/>
      <c r="J28" s="19"/>
      <c r="K28" s="19"/>
      <c r="L28" s="19"/>
      <c r="M28" s="19"/>
      <c r="N28" s="19"/>
      <c r="O28" s="19"/>
      <c r="P28" s="19"/>
      <c r="Q28" s="19"/>
      <c r="R28" s="174"/>
    </row>
    <row r="29" spans="2:18" s="34" customFormat="1" ht="15.75" thickBot="1">
      <c r="B29" s="179">
        <v>42381</v>
      </c>
      <c r="C29" s="183">
        <v>36</v>
      </c>
      <c r="D29" s="48">
        <v>8</v>
      </c>
      <c r="E29" s="48">
        <v>9</v>
      </c>
      <c r="F29" s="48">
        <v>25</v>
      </c>
      <c r="G29" s="48">
        <v>25</v>
      </c>
      <c r="H29" s="173">
        <v>21770</v>
      </c>
      <c r="I29" s="183">
        <v>3</v>
      </c>
      <c r="J29" s="48">
        <v>3</v>
      </c>
      <c r="K29" s="48">
        <v>9</v>
      </c>
      <c r="L29" s="48">
        <v>7</v>
      </c>
      <c r="M29" s="48">
        <v>3</v>
      </c>
      <c r="N29" s="48">
        <v>7.1428571428599996</v>
      </c>
      <c r="O29" s="48">
        <v>402</v>
      </c>
      <c r="P29" s="48">
        <v>0</v>
      </c>
      <c r="Q29" s="48">
        <v>0</v>
      </c>
      <c r="R29" s="173">
        <v>39798</v>
      </c>
    </row>
    <row r="30" spans="2:18" s="34" customFormat="1">
      <c r="B30" s="178" t="s">
        <v>19</v>
      </c>
      <c r="C30" s="178"/>
      <c r="D30" s="44"/>
      <c r="E30" s="44"/>
      <c r="F30" s="44"/>
      <c r="G30" s="44"/>
      <c r="H30" s="186"/>
      <c r="I30" s="188"/>
      <c r="J30" s="19"/>
      <c r="K30" s="19"/>
      <c r="L30" s="19"/>
      <c r="M30" s="19"/>
      <c r="N30" s="19"/>
      <c r="O30" s="19"/>
      <c r="P30" s="19"/>
      <c r="Q30" s="19"/>
      <c r="R30" s="174"/>
    </row>
    <row r="31" spans="2:18" s="34" customFormat="1" ht="15.75" thickBot="1">
      <c r="B31" s="179">
        <v>42388</v>
      </c>
      <c r="C31" s="183">
        <v>23</v>
      </c>
      <c r="D31" s="48">
        <v>12</v>
      </c>
      <c r="E31" s="48">
        <v>12</v>
      </c>
      <c r="F31" s="48">
        <v>37</v>
      </c>
      <c r="G31" s="48">
        <v>32</v>
      </c>
      <c r="H31" s="173">
        <v>5497</v>
      </c>
      <c r="I31" s="183">
        <v>4</v>
      </c>
      <c r="J31" s="48">
        <v>3</v>
      </c>
      <c r="K31" s="48">
        <v>6</v>
      </c>
      <c r="L31" s="48">
        <v>3</v>
      </c>
      <c r="M31" s="48">
        <v>1.5</v>
      </c>
      <c r="N31" s="48">
        <v>13.7931034483</v>
      </c>
      <c r="O31" s="48">
        <v>131</v>
      </c>
      <c r="P31" s="48">
        <v>21.052631578900002</v>
      </c>
      <c r="Q31" s="48">
        <v>21.052631578900002</v>
      </c>
      <c r="R31" s="173">
        <v>6288</v>
      </c>
    </row>
    <row r="33" spans="2:18" ht="15.75" thickBot="1"/>
    <row r="34" spans="2:18" s="34" customFormat="1">
      <c r="B34" s="113" t="s">
        <v>21</v>
      </c>
      <c r="C34" s="114"/>
      <c r="D34" s="115" t="s">
        <v>22</v>
      </c>
      <c r="E34" s="116"/>
      <c r="F34" s="116"/>
      <c r="G34" s="117"/>
      <c r="H34" s="43"/>
      <c r="I34" s="43"/>
      <c r="J34" s="43"/>
    </row>
    <row r="35" spans="2:18" s="34" customFormat="1" ht="15.75" thickBot="1">
      <c r="B35" s="118" t="s">
        <v>23</v>
      </c>
      <c r="C35" s="119"/>
      <c r="D35" s="120" t="s">
        <v>24</v>
      </c>
      <c r="E35" s="121"/>
      <c r="F35" s="121"/>
      <c r="G35" s="122"/>
      <c r="H35" s="43"/>
      <c r="I35" s="43"/>
      <c r="J35" s="43"/>
    </row>
    <row r="36" spans="2:18" s="34" customFormat="1">
      <c r="B36" s="43"/>
      <c r="C36" s="43"/>
      <c r="D36" s="43"/>
      <c r="E36" s="43"/>
      <c r="F36" s="43"/>
      <c r="G36" s="43"/>
      <c r="H36" s="43"/>
      <c r="I36" s="43"/>
      <c r="J36" s="43"/>
    </row>
    <row r="37" spans="2:18" s="34" customFormat="1" ht="15.75" thickBot="1"/>
    <row r="38" spans="2:18" s="34" customFormat="1" ht="27.75" customHeight="1">
      <c r="B38" s="130" t="s">
        <v>21</v>
      </c>
      <c r="C38" s="131"/>
      <c r="D38" s="136" t="s">
        <v>25</v>
      </c>
      <c r="E38" s="137"/>
      <c r="F38" s="138" t="s">
        <v>26</v>
      </c>
      <c r="G38" s="139"/>
      <c r="H38" s="139"/>
      <c r="I38" s="140"/>
      <c r="J38" s="141"/>
      <c r="K38" s="141"/>
      <c r="L38" s="141"/>
      <c r="M38" s="141"/>
      <c r="N38" s="141"/>
      <c r="O38" s="141"/>
      <c r="P38" s="141"/>
      <c r="Q38" s="141"/>
      <c r="R38" s="142"/>
    </row>
    <row r="39" spans="2:18" s="34" customFormat="1" ht="27.75" customHeight="1">
      <c r="B39" s="132"/>
      <c r="C39" s="133"/>
      <c r="D39" s="143" t="s">
        <v>2</v>
      </c>
      <c r="E39" s="144"/>
      <c r="F39" s="145" t="s">
        <v>27</v>
      </c>
      <c r="G39" s="146"/>
      <c r="H39" s="146"/>
      <c r="I39" s="147"/>
      <c r="J39" s="148"/>
      <c r="K39" s="148"/>
      <c r="L39" s="148"/>
      <c r="M39" s="148"/>
      <c r="N39" s="148"/>
      <c r="O39" s="148"/>
      <c r="P39" s="148"/>
      <c r="Q39" s="148"/>
      <c r="R39" s="149"/>
    </row>
    <row r="40" spans="2:18" s="34" customFormat="1" ht="27.75" customHeight="1">
      <c r="B40" s="132"/>
      <c r="C40" s="133"/>
      <c r="D40" s="143" t="s">
        <v>3</v>
      </c>
      <c r="E40" s="144"/>
      <c r="F40" s="145" t="s">
        <v>28</v>
      </c>
      <c r="G40" s="146"/>
      <c r="H40" s="146"/>
      <c r="I40" s="147"/>
      <c r="J40" s="148"/>
      <c r="K40" s="148"/>
      <c r="L40" s="148"/>
      <c r="M40" s="148"/>
      <c r="N40" s="148"/>
      <c r="O40" s="148"/>
      <c r="P40" s="148"/>
      <c r="Q40" s="148"/>
      <c r="R40" s="149"/>
    </row>
    <row r="41" spans="2:18" s="34" customFormat="1" ht="27.75" customHeight="1">
      <c r="B41" s="132"/>
      <c r="C41" s="133"/>
      <c r="D41" s="143" t="s">
        <v>29</v>
      </c>
      <c r="E41" s="144"/>
      <c r="F41" s="145" t="s">
        <v>30</v>
      </c>
      <c r="G41" s="146"/>
      <c r="H41" s="146"/>
      <c r="I41" s="147"/>
      <c r="J41" s="148"/>
      <c r="K41" s="148"/>
      <c r="L41" s="148"/>
      <c r="M41" s="148"/>
      <c r="N41" s="148"/>
      <c r="O41" s="148"/>
      <c r="P41" s="148"/>
      <c r="Q41" s="148"/>
      <c r="R41" s="149"/>
    </row>
    <row r="42" spans="2:18" s="34" customFormat="1" ht="33" customHeight="1">
      <c r="B42" s="132"/>
      <c r="C42" s="133"/>
      <c r="D42" s="143" t="s">
        <v>31</v>
      </c>
      <c r="E42" s="144"/>
      <c r="F42" s="145" t="s">
        <v>32</v>
      </c>
      <c r="G42" s="146"/>
      <c r="H42" s="146"/>
      <c r="I42" s="147"/>
      <c r="J42" s="148"/>
      <c r="K42" s="148"/>
      <c r="L42" s="148"/>
      <c r="M42" s="148"/>
      <c r="N42" s="148"/>
      <c r="O42" s="148"/>
      <c r="P42" s="148"/>
      <c r="Q42" s="148"/>
      <c r="R42" s="149"/>
    </row>
    <row r="43" spans="2:18" s="34" customFormat="1" ht="28.5" customHeight="1" thickBot="1">
      <c r="B43" s="134"/>
      <c r="C43" s="135"/>
      <c r="D43" s="123" t="s">
        <v>4</v>
      </c>
      <c r="E43" s="124"/>
      <c r="F43" s="125" t="s">
        <v>33</v>
      </c>
      <c r="G43" s="126"/>
      <c r="H43" s="126"/>
      <c r="I43" s="127"/>
      <c r="J43" s="128"/>
      <c r="K43" s="128"/>
      <c r="L43" s="128"/>
      <c r="M43" s="128"/>
      <c r="N43" s="128"/>
      <c r="O43" s="128"/>
      <c r="P43" s="128"/>
      <c r="Q43" s="128"/>
      <c r="R43" s="129"/>
    </row>
    <row r="44" spans="2:18" s="34" customFormat="1" ht="27.75" customHeight="1">
      <c r="B44" s="162" t="s">
        <v>23</v>
      </c>
      <c r="C44" s="163"/>
      <c r="D44" s="160" t="s">
        <v>5</v>
      </c>
      <c r="E44" s="161"/>
      <c r="F44" s="150" t="s">
        <v>34</v>
      </c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51"/>
    </row>
    <row r="45" spans="2:18" s="34" customFormat="1" ht="27.75" customHeight="1">
      <c r="B45" s="132"/>
      <c r="C45" s="164"/>
      <c r="D45" s="158" t="s">
        <v>59</v>
      </c>
      <c r="E45" s="159"/>
      <c r="F45" s="168" t="s">
        <v>62</v>
      </c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70"/>
    </row>
    <row r="46" spans="2:18" s="34" customFormat="1" ht="27.75" customHeight="1">
      <c r="B46" s="132"/>
      <c r="C46" s="164"/>
      <c r="D46" s="158" t="s">
        <v>6</v>
      </c>
      <c r="E46" s="159"/>
      <c r="F46" s="152" t="s">
        <v>63</v>
      </c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4"/>
    </row>
    <row r="47" spans="2:18" s="34" customFormat="1" ht="27.75" customHeight="1">
      <c r="B47" s="132"/>
      <c r="C47" s="164"/>
      <c r="D47" s="143" t="s">
        <v>60</v>
      </c>
      <c r="E47" s="144"/>
      <c r="F47" s="155" t="s">
        <v>64</v>
      </c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7"/>
    </row>
    <row r="48" spans="2:18" s="34" customFormat="1" ht="27.75" customHeight="1">
      <c r="B48" s="132"/>
      <c r="C48" s="164"/>
      <c r="D48" s="158" t="s">
        <v>7</v>
      </c>
      <c r="E48" s="159"/>
      <c r="F48" s="152" t="s">
        <v>35</v>
      </c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4"/>
    </row>
    <row r="49" spans="2:18" s="34" customFormat="1" ht="45" customHeight="1">
      <c r="B49" s="132"/>
      <c r="C49" s="164"/>
      <c r="D49" s="158" t="s">
        <v>8</v>
      </c>
      <c r="E49" s="159"/>
      <c r="F49" s="152" t="s">
        <v>36</v>
      </c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4"/>
    </row>
    <row r="50" spans="2:18" s="34" customFormat="1" ht="48" customHeight="1">
      <c r="B50" s="132"/>
      <c r="C50" s="164"/>
      <c r="D50" s="158" t="s">
        <v>37</v>
      </c>
      <c r="E50" s="159"/>
      <c r="F50" s="152" t="s">
        <v>38</v>
      </c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4"/>
    </row>
    <row r="51" spans="2:18" s="34" customFormat="1" ht="27.75" customHeight="1">
      <c r="B51" s="132"/>
      <c r="C51" s="164"/>
      <c r="D51" s="158" t="s">
        <v>39</v>
      </c>
      <c r="E51" s="159"/>
      <c r="F51" s="152" t="s">
        <v>40</v>
      </c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4"/>
    </row>
    <row r="52" spans="2:18" s="34" customFormat="1" ht="40.5" customHeight="1">
      <c r="B52" s="132"/>
      <c r="C52" s="164"/>
      <c r="D52" s="158" t="s">
        <v>9</v>
      </c>
      <c r="E52" s="159"/>
      <c r="F52" s="152" t="s">
        <v>41</v>
      </c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4"/>
    </row>
    <row r="53" spans="2:18" s="34" customFormat="1" ht="27" customHeight="1">
      <c r="B53" s="132"/>
      <c r="C53" s="164"/>
      <c r="D53" s="158" t="s">
        <v>10</v>
      </c>
      <c r="E53" s="159"/>
      <c r="F53" s="152" t="s">
        <v>42</v>
      </c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4"/>
    </row>
    <row r="54" spans="2:18" s="34" customFormat="1" ht="27" customHeight="1">
      <c r="B54" s="132"/>
      <c r="C54" s="164"/>
      <c r="D54" s="143" t="s">
        <v>65</v>
      </c>
      <c r="E54" s="144"/>
      <c r="F54" s="166" t="s">
        <v>66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9"/>
    </row>
    <row r="55" spans="2:18" s="34" customFormat="1" ht="30" customHeight="1" thickBot="1">
      <c r="B55" s="134"/>
      <c r="C55" s="165"/>
      <c r="D55" s="123" t="s">
        <v>58</v>
      </c>
      <c r="E55" s="124"/>
      <c r="F55" s="167" t="s">
        <v>67</v>
      </c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9"/>
    </row>
    <row r="82" ht="27.75" customHeight="1"/>
    <row r="83" ht="27.75" customHeight="1"/>
    <row r="84" ht="27.75" customHeight="1"/>
    <row r="85" ht="27.75" customHeight="1"/>
    <row r="86" ht="33" customHeight="1"/>
    <row r="87" ht="28.5" customHeight="1"/>
    <row r="88" ht="27.75" customHeight="1"/>
    <row r="89" ht="27.75" customHeight="1"/>
    <row r="90" ht="27.75" customHeight="1"/>
    <row r="91" ht="27.75" customHeight="1"/>
    <row r="92" ht="27.75" customHeight="1"/>
    <row r="93" ht="45" customHeight="1"/>
    <row r="94" ht="48" customHeight="1"/>
    <row r="95" ht="27.75" customHeight="1"/>
    <row r="96" ht="40.5" customHeight="1"/>
    <row r="97" ht="27" customHeight="1"/>
    <row r="98" ht="27" customHeight="1"/>
    <row r="99" ht="30" customHeight="1"/>
    <row r="104" ht="27.75" customHeight="1"/>
    <row r="105" ht="27.75" customHeight="1"/>
    <row r="106" ht="27.75" customHeight="1"/>
    <row r="107" ht="27.75" customHeight="1"/>
    <row r="108" ht="33" customHeight="1"/>
    <row r="109" ht="28.5" customHeight="1"/>
    <row r="110" ht="27.75" customHeight="1"/>
    <row r="111" ht="27.75" customHeight="1"/>
    <row r="112" ht="27.75" customHeight="1"/>
    <row r="113" ht="27.75" customHeight="1"/>
    <row r="114" ht="27.75" customHeight="1"/>
    <row r="115" ht="45" customHeight="1"/>
    <row r="116" ht="48" customHeight="1"/>
    <row r="117" ht="27.75" customHeight="1"/>
    <row r="118" ht="40.5" customHeight="1"/>
    <row r="119" ht="27" customHeight="1"/>
    <row r="120" ht="27" customHeight="1"/>
    <row r="121" ht="30" customHeight="1"/>
    <row r="148" ht="27.75" customHeight="1"/>
    <row r="149" ht="27.75" customHeight="1"/>
    <row r="150" ht="27.75" customHeight="1"/>
    <row r="151" ht="27.75" customHeight="1"/>
    <row r="152" ht="33" customHeight="1"/>
    <row r="153" ht="28.5" customHeight="1"/>
    <row r="154" ht="27.75" customHeight="1"/>
    <row r="155" ht="27.75" customHeight="1"/>
    <row r="156" ht="27.75" customHeight="1"/>
    <row r="157" ht="27.75" customHeight="1"/>
    <row r="158" ht="27.75" customHeight="1"/>
    <row r="159" ht="45" customHeight="1"/>
    <row r="160" ht="48" customHeight="1"/>
    <row r="161" ht="27.75" customHeight="1"/>
    <row r="162" ht="40.5" customHeight="1"/>
    <row r="163" ht="27" customHeight="1"/>
    <row r="164" ht="27" customHeight="1"/>
    <row r="165" ht="30" customHeight="1"/>
    <row r="192" ht="27.75" customHeight="1"/>
    <row r="193" ht="27.75" customHeight="1"/>
    <row r="194" ht="27.75" customHeight="1"/>
    <row r="195" ht="27.75" customHeight="1"/>
    <row r="196" ht="33" customHeight="1"/>
    <row r="197" ht="28.5" customHeight="1"/>
    <row r="198" ht="27.75" customHeight="1"/>
    <row r="199" ht="27.75" customHeight="1"/>
    <row r="200" ht="27.75" customHeight="1"/>
    <row r="201" ht="27.75" customHeight="1"/>
    <row r="202" ht="27.75" customHeight="1"/>
    <row r="203" ht="45" customHeight="1"/>
    <row r="204" ht="48" customHeight="1"/>
    <row r="205" ht="27.75" customHeight="1"/>
    <row r="206" ht="40.5" customHeight="1"/>
    <row r="207" ht="27" customHeight="1"/>
    <row r="208" ht="27" customHeight="1"/>
    <row r="209" ht="30" customHeight="1"/>
    <row r="224" ht="27.75" customHeight="1"/>
    <row r="225" ht="27.75" customHeight="1"/>
    <row r="226" ht="27.75" customHeight="1"/>
    <row r="227" ht="27.75" customHeight="1"/>
    <row r="228" ht="33" customHeight="1"/>
    <row r="229" ht="28.5" customHeight="1"/>
    <row r="230" ht="27.75" customHeight="1"/>
    <row r="231" ht="27.75" customHeight="1"/>
    <row r="232" ht="27.75" customHeight="1"/>
    <row r="233" ht="27.75" customHeight="1"/>
    <row r="234" ht="27.75" customHeight="1"/>
    <row r="235" ht="45" customHeight="1"/>
    <row r="236" ht="48" customHeight="1"/>
    <row r="237" ht="27.75" customHeight="1"/>
    <row r="238" ht="40.5" customHeight="1"/>
    <row r="239" ht="27" customHeight="1"/>
    <row r="240" ht="27" customHeight="1"/>
    <row r="241" ht="30" customHeight="1"/>
    <row r="268" ht="27.75" customHeight="1"/>
    <row r="269" ht="27.75" customHeight="1"/>
    <row r="270" ht="27.75" customHeight="1"/>
    <row r="271" ht="27.75" customHeight="1"/>
    <row r="272" ht="33" customHeight="1"/>
    <row r="273" ht="28.5" customHeight="1"/>
    <row r="274" ht="27.75" customHeight="1"/>
    <row r="275" ht="27.75" customHeight="1"/>
    <row r="276" ht="27.75" customHeight="1"/>
    <row r="277" ht="27.75" customHeight="1"/>
    <row r="278" ht="27.75" customHeight="1"/>
    <row r="279" ht="45" customHeight="1"/>
    <row r="280" ht="48" customHeight="1"/>
    <row r="281" ht="27.75" customHeight="1"/>
    <row r="282" ht="40.5" customHeight="1"/>
    <row r="283" ht="27" customHeight="1"/>
    <row r="284" ht="27" customHeight="1"/>
    <row r="285" ht="30" customHeight="1"/>
    <row r="300" ht="27.75" customHeight="1"/>
    <row r="301" ht="27.75" customHeight="1"/>
    <row r="302" ht="27.75" customHeight="1"/>
    <row r="303" ht="27.75" customHeight="1"/>
    <row r="304" ht="33" customHeight="1"/>
    <row r="305" ht="28.5" customHeight="1"/>
    <row r="306" ht="27.75" customHeight="1"/>
    <row r="307" ht="27.75" customHeight="1"/>
    <row r="308" ht="27.75" customHeight="1"/>
    <row r="309" ht="27.75" customHeight="1"/>
    <row r="310" ht="27.75" customHeight="1"/>
    <row r="311" ht="45" customHeight="1"/>
    <row r="312" ht="48" customHeight="1"/>
    <row r="313" ht="27.75" customHeight="1"/>
    <row r="314" ht="40.5" customHeight="1"/>
    <row r="315" ht="27" customHeight="1"/>
    <row r="316" ht="27" customHeight="1"/>
    <row r="317" ht="30" customHeight="1"/>
    <row r="356" ht="27.75" customHeight="1"/>
    <row r="357" ht="27.75" customHeight="1"/>
    <row r="358" ht="27.75" customHeight="1"/>
    <row r="359" ht="27.75" customHeight="1"/>
    <row r="360" ht="33" customHeight="1"/>
    <row r="361" ht="28.5" customHeight="1"/>
    <row r="362" ht="27.75" customHeight="1"/>
    <row r="363" ht="27.75" customHeight="1"/>
    <row r="364" ht="27.75" customHeight="1"/>
    <row r="365" ht="27.75" customHeight="1"/>
    <row r="366" ht="27.75" customHeight="1"/>
    <row r="367" ht="45" customHeight="1"/>
    <row r="368" ht="48" customHeight="1"/>
    <row r="369" ht="27.75" customHeight="1"/>
    <row r="370" ht="40.5" customHeight="1"/>
    <row r="371" ht="27" customHeight="1"/>
    <row r="372" ht="27" customHeight="1"/>
    <row r="373" ht="30" customHeight="1"/>
    <row r="374" ht="27.75" customHeight="1"/>
    <row r="375" ht="27.75" customHeight="1"/>
    <row r="376" ht="33" customHeight="1"/>
    <row r="377" ht="28.5" customHeight="1"/>
    <row r="378" ht="27.75" customHeight="1"/>
    <row r="379" ht="27.75" customHeight="1"/>
    <row r="380" ht="27.75" customHeight="1"/>
    <row r="381" ht="27.75" customHeight="1"/>
    <row r="382" ht="27.75" customHeight="1"/>
    <row r="383" ht="45" customHeight="1"/>
    <row r="384" ht="48" customHeight="1"/>
    <row r="385" ht="27.75" customHeight="1"/>
    <row r="386" ht="40.5" customHeight="1"/>
    <row r="387" ht="27" customHeight="1"/>
    <row r="388" ht="27" customHeight="1"/>
    <row r="389" ht="30" customHeight="1"/>
    <row r="428" ht="27.75" customHeight="1"/>
    <row r="429" ht="27.75" customHeight="1"/>
    <row r="430" ht="27.75" customHeight="1"/>
    <row r="431" ht="27.75" customHeight="1"/>
    <row r="432" ht="33" customHeight="1"/>
    <row r="433" ht="28.5" customHeight="1"/>
    <row r="434" ht="27.75" customHeight="1"/>
    <row r="435" ht="27.75" customHeight="1"/>
    <row r="436" ht="27.75" customHeight="1"/>
    <row r="437" ht="27.75" customHeight="1"/>
    <row r="438" ht="27.75" customHeight="1"/>
    <row r="439" ht="45" customHeight="1"/>
    <row r="440" ht="48" customHeight="1"/>
    <row r="441" ht="27.75" customHeight="1"/>
    <row r="442" ht="40.5" customHeight="1"/>
    <row r="443" ht="27" customHeight="1"/>
    <row r="444" ht="27" customHeight="1"/>
    <row r="445" ht="30" customHeight="1"/>
    <row r="449" ht="27.75" customHeight="1"/>
    <row r="450" ht="27.75" customHeight="1"/>
    <row r="451" ht="27.75" customHeight="1"/>
    <row r="452" ht="27.75" customHeight="1"/>
    <row r="453" ht="33" customHeight="1"/>
    <row r="454" ht="28.5" customHeight="1"/>
    <row r="455" ht="27.75" customHeight="1"/>
    <row r="456" ht="27.75" customHeight="1"/>
    <row r="457" ht="27.75" customHeight="1"/>
    <row r="458" ht="27.75" customHeight="1"/>
    <row r="459" ht="27.75" customHeight="1"/>
    <row r="460" ht="45" customHeight="1"/>
    <row r="461" ht="48" customHeight="1"/>
    <row r="462" ht="27.75" customHeight="1"/>
    <row r="463" ht="40.5" customHeight="1"/>
    <row r="464" ht="27" customHeight="1"/>
    <row r="465" ht="27" customHeight="1"/>
    <row r="466" ht="30" customHeight="1"/>
    <row r="505" ht="27.75" customHeight="1"/>
    <row r="506" ht="27.75" customHeight="1"/>
    <row r="507" ht="27.75" customHeight="1"/>
    <row r="508" ht="27.75" customHeight="1"/>
    <row r="509" ht="33" customHeight="1"/>
    <row r="510" ht="28.5" customHeight="1"/>
    <row r="511" ht="27.75" customHeight="1"/>
    <row r="512" ht="27.75" customHeight="1"/>
    <row r="513" ht="27.75" customHeight="1"/>
    <row r="514" ht="27.75" customHeight="1"/>
    <row r="515" ht="27.75" customHeight="1"/>
    <row r="516" ht="45" customHeight="1"/>
    <row r="517" ht="48" customHeight="1"/>
    <row r="518" ht="27.75" customHeight="1"/>
    <row r="519" ht="40.5" customHeight="1"/>
    <row r="520" ht="27" customHeight="1"/>
    <row r="521" ht="27" customHeight="1"/>
    <row r="522" ht="30" customHeight="1"/>
    <row r="523" ht="28.5" customHeight="1"/>
    <row r="524" ht="27.75" customHeight="1"/>
    <row r="525" ht="27.75" customHeight="1"/>
    <row r="526" ht="27.75" customHeight="1"/>
    <row r="527" ht="27.75" customHeight="1"/>
    <row r="528" ht="27.75" customHeight="1"/>
    <row r="529" ht="45" customHeight="1"/>
    <row r="530" ht="48" customHeight="1"/>
    <row r="531" ht="27.75" customHeight="1"/>
    <row r="532" ht="40.5" customHeight="1"/>
    <row r="533" ht="27" customHeight="1"/>
    <row r="534" ht="27" customHeight="1"/>
    <row r="535" ht="30" customHeight="1"/>
    <row r="559" ht="27.75" customHeight="1"/>
    <row r="560" ht="27.75" customHeight="1"/>
    <row r="561" ht="27.75" customHeight="1"/>
    <row r="562" ht="27.75" customHeight="1"/>
    <row r="563" ht="27.75" customHeight="1"/>
    <row r="564" ht="27.75" customHeight="1"/>
    <row r="565" ht="27.75" customHeight="1"/>
    <row r="566" ht="27.75" customHeight="1"/>
    <row r="567" ht="27.75" customHeight="1"/>
    <row r="568" ht="27.75" customHeight="1"/>
    <row r="569" ht="33" customHeight="1"/>
    <row r="570" ht="28.5" customHeight="1"/>
    <row r="571" ht="27.75" customHeight="1"/>
    <row r="572" ht="27.75" customHeight="1"/>
    <row r="573" ht="27.75" customHeight="1"/>
    <row r="574" ht="27.75" customHeight="1"/>
    <row r="575" ht="27.75" customHeight="1"/>
    <row r="576" ht="45" customHeight="1"/>
    <row r="577" ht="48" customHeight="1"/>
    <row r="578" ht="27.75" customHeight="1"/>
    <row r="579" ht="40.5" customHeight="1"/>
    <row r="580" ht="27" customHeight="1"/>
    <row r="581" ht="27" customHeight="1"/>
    <row r="582" ht="30" customHeight="1"/>
    <row r="615" ht="48" customHeight="1"/>
    <row r="616" ht="27.75" customHeight="1"/>
    <row r="617" ht="40.5" customHeight="1"/>
    <row r="618" ht="27" customHeight="1"/>
    <row r="619" ht="27" customHeight="1"/>
    <row r="620" ht="30" customHeight="1"/>
    <row r="659" ht="27.75" customHeight="1"/>
    <row r="660" ht="27.75" customHeight="1"/>
    <row r="661" ht="27.75" customHeight="1"/>
    <row r="662" ht="27.75" customHeight="1"/>
    <row r="663" ht="33" customHeight="1"/>
    <row r="664" ht="28.5" customHeight="1"/>
    <row r="665" ht="27.75" customHeight="1"/>
    <row r="666" ht="27.75" customHeight="1"/>
    <row r="667" ht="27.75" customHeight="1"/>
    <row r="668" ht="27.75" customHeight="1"/>
    <row r="669" ht="27.75" customHeight="1"/>
    <row r="670" ht="45" customHeight="1"/>
    <row r="671" ht="48" customHeight="1"/>
    <row r="672" ht="27.75" customHeight="1"/>
    <row r="673" ht="40.5" customHeight="1"/>
    <row r="674" ht="19.5" customHeight="1"/>
    <row r="675" ht="19.5" customHeight="1"/>
    <row r="676" ht="19.5" customHeight="1"/>
    <row r="695" ht="27.75" customHeight="1"/>
    <row r="696" ht="27.75" customHeight="1"/>
    <row r="697" ht="27.75" customHeight="1"/>
    <row r="698" ht="27.75" customHeight="1"/>
    <row r="699" ht="33" customHeight="1"/>
    <row r="700" ht="28.5" customHeight="1"/>
    <row r="701" ht="27.75" customHeight="1"/>
    <row r="702" ht="27.75" customHeight="1"/>
    <row r="703" ht="27.75" customHeight="1"/>
    <row r="704" ht="27.75" customHeight="1"/>
    <row r="705" ht="27.75" customHeight="1"/>
    <row r="706" ht="45" customHeight="1"/>
    <row r="707" ht="48" customHeight="1"/>
    <row r="708" ht="27.75" customHeight="1"/>
    <row r="709" ht="40.5" customHeight="1"/>
    <row r="710" ht="19.5" customHeight="1"/>
    <row r="711" ht="19.5" customHeight="1"/>
    <row r="712" ht="19.5" customHeight="1"/>
    <row r="731" ht="27.75" customHeight="1"/>
    <row r="732" ht="27.75" customHeight="1"/>
    <row r="733" ht="27.75" customHeight="1"/>
    <row r="734" ht="27.75" customHeight="1"/>
    <row r="735" ht="33" customHeight="1"/>
    <row r="736" ht="28.5" customHeight="1"/>
    <row r="737" ht="27.75" customHeight="1"/>
    <row r="738" ht="27.75" customHeight="1"/>
    <row r="739" ht="27.75" customHeight="1"/>
    <row r="740" ht="27.75" customHeight="1"/>
    <row r="741" ht="27.75" customHeight="1"/>
    <row r="742" ht="45" customHeight="1"/>
    <row r="743" ht="48" customHeight="1"/>
    <row r="744" ht="27.75" customHeight="1"/>
    <row r="745" ht="40.5" customHeight="1"/>
    <row r="746" ht="19.5" customHeight="1"/>
    <row r="747" ht="19.5" customHeight="1"/>
    <row r="748" ht="19.5" customHeight="1"/>
    <row r="767" ht="27.75" customHeight="1"/>
    <row r="768" ht="27.75" customHeight="1"/>
    <row r="769" ht="27.75" customHeight="1"/>
    <row r="770" ht="27.75" customHeight="1"/>
    <row r="771" ht="33" customHeight="1"/>
    <row r="772" ht="28.5" customHeight="1"/>
    <row r="773" ht="27.75" customHeight="1"/>
    <row r="774" ht="27.75" customHeight="1"/>
    <row r="775" ht="27.75" customHeight="1"/>
    <row r="776" ht="27.75" customHeight="1"/>
    <row r="777" ht="27.75" customHeight="1"/>
    <row r="778" ht="45" customHeight="1"/>
    <row r="779" ht="48" customHeight="1"/>
    <row r="780" ht="27.75" customHeight="1"/>
    <row r="781" ht="40.5" customHeight="1"/>
    <row r="782" ht="19.5" customHeight="1"/>
    <row r="783" ht="19.5" customHeight="1"/>
    <row r="784" ht="19.5" customHeight="1"/>
    <row r="803" ht="27.75" customHeight="1"/>
    <row r="804" ht="27.75" customHeight="1"/>
    <row r="805" ht="27.75" customHeight="1"/>
    <row r="806" ht="27.75" customHeight="1"/>
    <row r="807" ht="33" customHeight="1"/>
    <row r="808" ht="28.5" customHeight="1"/>
    <row r="809" ht="27.75" customHeight="1"/>
    <row r="810" ht="27.75" customHeight="1"/>
    <row r="811" ht="27.75" customHeight="1"/>
    <row r="812" ht="27.75" customHeight="1"/>
    <row r="813" ht="27.75" customHeight="1"/>
    <row r="814" ht="45" customHeight="1"/>
    <row r="815" ht="48" customHeight="1"/>
    <row r="816" ht="27.75" customHeight="1"/>
    <row r="817" ht="40.5" customHeight="1"/>
    <row r="818" ht="19.5" customHeight="1"/>
    <row r="819" ht="19.5" customHeight="1"/>
    <row r="820" ht="19.5" customHeight="1"/>
    <row r="839" ht="27.75" customHeight="1"/>
    <row r="840" ht="27.75" customHeight="1"/>
    <row r="841" ht="27.75" customHeight="1"/>
    <row r="842" ht="27.75" customHeight="1"/>
    <row r="843" ht="33" customHeight="1"/>
    <row r="844" ht="28.5" customHeight="1"/>
    <row r="845" ht="27.75" customHeight="1"/>
    <row r="846" ht="27.75" customHeight="1"/>
    <row r="847" ht="27.75" customHeight="1"/>
    <row r="848" ht="27.75" customHeight="1"/>
    <row r="849" ht="27.75" customHeight="1"/>
    <row r="850" ht="45" customHeight="1"/>
    <row r="851" ht="48" customHeight="1"/>
    <row r="852" ht="27.75" customHeight="1"/>
    <row r="853" ht="40.5" customHeight="1"/>
    <row r="854" ht="19.5" customHeight="1"/>
    <row r="855" ht="19.5" customHeight="1"/>
    <row r="856" ht="19.5" customHeight="1"/>
    <row r="875" ht="27.75" customHeight="1"/>
    <row r="876" ht="27.75" customHeight="1"/>
    <row r="877" ht="27.75" customHeight="1"/>
    <row r="878" ht="27.75" customHeight="1"/>
    <row r="879" ht="33" customHeight="1"/>
    <row r="880" ht="28.5" customHeight="1"/>
    <row r="881" ht="27.75" customHeight="1"/>
    <row r="882" ht="27.75" customHeight="1"/>
    <row r="883" ht="27.75" customHeight="1"/>
    <row r="884" ht="27.75" customHeight="1"/>
    <row r="885" ht="27.75" customHeight="1"/>
    <row r="886" ht="45" customHeight="1"/>
    <row r="887" ht="48" customHeight="1"/>
    <row r="888" ht="27.75" customHeight="1"/>
    <row r="889" ht="40.5" customHeight="1"/>
    <row r="890" ht="19.5" customHeight="1"/>
    <row r="891" ht="19.5" customHeight="1"/>
    <row r="892" ht="19.5" customHeight="1"/>
    <row r="911" ht="27.75" customHeight="1"/>
    <row r="912" ht="27.75" customHeight="1"/>
    <row r="913" ht="27.75" customHeight="1"/>
    <row r="914" ht="27.75" customHeight="1"/>
    <row r="915" ht="33" customHeight="1"/>
    <row r="916" ht="28.5" customHeight="1"/>
    <row r="917" ht="27.75" customHeight="1"/>
    <row r="918" ht="27.75" customHeight="1"/>
    <row r="919" ht="27.75" customHeight="1"/>
    <row r="920" ht="27.75" customHeight="1"/>
    <row r="921" ht="27.75" customHeight="1"/>
    <row r="922" ht="45" customHeight="1"/>
    <row r="923" ht="48" customHeight="1"/>
    <row r="924" ht="27.75" customHeight="1"/>
    <row r="925" ht="40.5" customHeight="1"/>
    <row r="926" ht="19.5" customHeight="1"/>
    <row r="927" ht="19.5" customHeight="1"/>
    <row r="928" ht="19.5" customHeight="1"/>
    <row r="947" ht="27.75" customHeight="1"/>
    <row r="948" ht="27.75" customHeight="1"/>
    <row r="949" ht="27.75" customHeight="1"/>
    <row r="950" ht="27.75" customHeight="1"/>
    <row r="951" ht="33" customHeight="1"/>
    <row r="952" ht="28.5" customHeight="1"/>
    <row r="953" ht="27.75" customHeight="1"/>
    <row r="954" ht="27.75" customHeight="1"/>
    <row r="955" ht="27.75" customHeight="1"/>
    <row r="956" ht="27.75" customHeight="1"/>
    <row r="957" ht="27.75" customHeight="1"/>
    <row r="958" ht="45" customHeight="1"/>
    <row r="959" ht="48" customHeight="1"/>
    <row r="960" ht="27.75" customHeight="1"/>
    <row r="961" ht="40.5" customHeight="1"/>
    <row r="962" ht="19.5" customHeight="1"/>
    <row r="963" ht="19.5" customHeight="1"/>
    <row r="964" ht="19.5" customHeight="1"/>
    <row r="983" ht="27.75" customHeight="1"/>
    <row r="984" ht="27.75" customHeight="1"/>
    <row r="985" ht="27.75" customHeight="1"/>
    <row r="986" ht="27.75" customHeight="1"/>
    <row r="987" ht="33" customHeight="1"/>
    <row r="988" ht="28.5" customHeight="1"/>
    <row r="989" ht="27.75" customHeight="1"/>
    <row r="990" ht="27.75" customHeight="1"/>
    <row r="991" ht="27.75" customHeight="1"/>
    <row r="992" ht="27.75" customHeight="1"/>
    <row r="993" ht="27.75" customHeight="1"/>
    <row r="994" ht="45" customHeight="1"/>
    <row r="995" ht="48" customHeight="1"/>
    <row r="996" ht="27.75" customHeight="1"/>
    <row r="997" ht="40.5" customHeight="1"/>
    <row r="998" ht="19.5" customHeight="1"/>
    <row r="999" ht="19.5" customHeight="1"/>
    <row r="1000" ht="19.5" customHeight="1"/>
    <row r="1019" ht="27.75" customHeight="1"/>
    <row r="1020" ht="27.75" customHeight="1"/>
    <row r="1021" ht="27.75" customHeight="1"/>
    <row r="1022" ht="27.75" customHeight="1"/>
    <row r="1023" ht="33" customHeight="1"/>
    <row r="1024" ht="28.5" customHeight="1"/>
    <row r="1025" ht="27.75" customHeight="1"/>
    <row r="1026" ht="27.75" customHeight="1"/>
    <row r="1027" ht="27.75" customHeight="1"/>
    <row r="1028" ht="27.75" customHeight="1"/>
    <row r="1029" ht="27.75" customHeight="1"/>
    <row r="1030" ht="45" customHeight="1"/>
    <row r="1031" ht="48" customHeight="1"/>
    <row r="1032" ht="27.75" customHeight="1"/>
    <row r="1033" ht="40.5" customHeight="1"/>
    <row r="1034" ht="19.5" customHeight="1"/>
    <row r="1035" ht="19.5" customHeight="1"/>
    <row r="1036" ht="19.5" customHeight="1"/>
    <row r="1055" ht="27.75" customHeight="1"/>
    <row r="1056" ht="27.75" customHeight="1"/>
    <row r="1057" ht="27.75" customHeight="1"/>
    <row r="1058" ht="27.75" customHeight="1"/>
    <row r="1059" ht="33" customHeight="1"/>
    <row r="1060" ht="28.5" customHeight="1"/>
    <row r="1061" ht="27.75" customHeight="1"/>
    <row r="1062" ht="27.75" customHeight="1"/>
    <row r="1063" ht="27.75" customHeight="1"/>
    <row r="1064" ht="27.75" customHeight="1"/>
    <row r="1065" ht="27.75" customHeight="1"/>
    <row r="1066" ht="45" customHeight="1"/>
    <row r="1067" ht="48" customHeight="1"/>
    <row r="1068" ht="27.75" customHeight="1"/>
    <row r="1069" ht="40.5" customHeight="1"/>
    <row r="1070" ht="19.5" customHeight="1"/>
    <row r="1071" ht="19.5" customHeight="1"/>
    <row r="1072" ht="19.5" customHeight="1"/>
    <row r="1091" ht="27.75" customHeight="1"/>
    <row r="1092" ht="27.75" customHeight="1"/>
    <row r="1093" ht="27.75" customHeight="1"/>
    <row r="1094" ht="27.75" customHeight="1"/>
    <row r="1095" ht="33" customHeight="1"/>
    <row r="1096" ht="28.5" customHeight="1"/>
    <row r="1097" ht="27.75" customHeight="1"/>
    <row r="1098" ht="27.75" customHeight="1"/>
    <row r="1099" ht="27.75" customHeight="1"/>
    <row r="1100" ht="27.75" customHeight="1"/>
    <row r="1101" ht="27.75" customHeight="1"/>
    <row r="1102" ht="45" customHeight="1"/>
    <row r="1103" ht="48" customHeight="1"/>
    <row r="1104" ht="27.75" customHeight="1"/>
    <row r="1105" ht="40.5" customHeight="1"/>
    <row r="1106" ht="19.5" customHeight="1"/>
    <row r="1107" ht="19.5" customHeight="1"/>
    <row r="1108" ht="19.5" customHeight="1"/>
    <row r="1127" ht="27.75" customHeight="1"/>
    <row r="1128" ht="27.75" customHeight="1"/>
    <row r="1129" ht="27.75" customHeight="1"/>
    <row r="1130" ht="27.75" customHeight="1"/>
    <row r="1131" ht="33" customHeight="1"/>
    <row r="1132" ht="28.5" customHeight="1"/>
    <row r="1133" ht="27.75" customHeight="1"/>
    <row r="1134" ht="27.75" customHeight="1"/>
    <row r="1135" ht="27.75" customHeight="1"/>
    <row r="1136" ht="27.75" customHeight="1"/>
    <row r="1137" ht="27.75" customHeight="1"/>
    <row r="1138" ht="45" customHeight="1"/>
    <row r="1139" ht="48" customHeight="1"/>
    <row r="1140" ht="27.75" customHeight="1"/>
    <row r="1141" ht="40.5" customHeight="1"/>
    <row r="1142" ht="19.5" customHeight="1"/>
    <row r="1143" ht="19.5" customHeight="1"/>
    <row r="1144" ht="19.5" customHeight="1"/>
    <row r="1163" ht="27.75" customHeight="1"/>
    <row r="1164" ht="27.75" customHeight="1"/>
    <row r="1165" ht="27.75" customHeight="1"/>
    <row r="1166" ht="27.75" customHeight="1"/>
    <row r="1167" ht="33" customHeight="1"/>
    <row r="1168" ht="28.5" customHeight="1"/>
    <row r="1169" ht="27.75" customHeight="1"/>
    <row r="1170" ht="27.75" customHeight="1"/>
    <row r="1171" ht="27.75" customHeight="1"/>
    <row r="1172" ht="27.75" customHeight="1"/>
    <row r="1173" ht="27.75" customHeight="1"/>
    <row r="1174" ht="45" customHeight="1"/>
    <row r="1175" ht="48" customHeight="1"/>
    <row r="1176" ht="27.75" customHeight="1"/>
    <row r="1177" ht="40.5" customHeight="1"/>
    <row r="1178" ht="19.5" customHeight="1"/>
    <row r="1179" ht="19.5" customHeight="1"/>
    <row r="1180" ht="19.5" customHeight="1"/>
    <row r="1199" ht="27.75" customHeight="1"/>
    <row r="1200" ht="27.75" customHeight="1"/>
    <row r="1201" ht="27.75" customHeight="1"/>
    <row r="1202" ht="27.75" customHeight="1"/>
    <row r="1203" ht="33" customHeight="1"/>
    <row r="1204" ht="28.5" customHeight="1"/>
    <row r="1205" ht="27.75" customHeight="1"/>
    <row r="1206" ht="27.75" customHeight="1"/>
    <row r="1207" ht="27.75" customHeight="1"/>
    <row r="1208" ht="27.75" customHeight="1"/>
    <row r="1209" ht="27.75" customHeight="1"/>
    <row r="1210" ht="45" customHeight="1"/>
    <row r="1211" ht="48" customHeight="1"/>
    <row r="1212" ht="27.75" customHeight="1"/>
    <row r="1213" ht="40.5" customHeight="1"/>
    <row r="1214" ht="19.5" customHeight="1"/>
    <row r="1215" ht="19.5" customHeight="1"/>
    <row r="1216" ht="19.5" customHeight="1"/>
    <row r="1235" ht="27.75" customHeight="1"/>
    <row r="1236" ht="27.75" customHeight="1"/>
    <row r="1237" ht="27.75" customHeight="1"/>
    <row r="1238" ht="27.75" customHeight="1"/>
    <row r="1239" ht="33" customHeight="1"/>
    <row r="1240" ht="28.5" customHeight="1"/>
    <row r="1241" ht="27.75" customHeight="1"/>
    <row r="1242" ht="27.75" customHeight="1"/>
    <row r="1243" ht="27.75" customHeight="1"/>
    <row r="1244" ht="27.75" customHeight="1"/>
    <row r="1245" ht="27.75" customHeight="1"/>
    <row r="1246" ht="45" customHeight="1"/>
    <row r="1247" ht="48" customHeight="1"/>
    <row r="1248" ht="27.75" customHeight="1"/>
    <row r="1249" ht="40.5" customHeight="1"/>
    <row r="1250" ht="19.5" customHeight="1"/>
    <row r="1251" ht="19.5" customHeight="1"/>
    <row r="1252" ht="19.5" customHeight="1"/>
    <row r="1271" ht="27.75" customHeight="1"/>
    <row r="1272" ht="27.75" customHeight="1"/>
    <row r="1273" ht="27.75" customHeight="1"/>
    <row r="1274" ht="27.75" customHeight="1"/>
    <row r="1275" ht="33" customHeight="1"/>
    <row r="1276" ht="28.5" customHeight="1"/>
    <row r="1277" ht="27.75" customHeight="1"/>
    <row r="1278" ht="27.75" customHeight="1"/>
    <row r="1279" ht="27.75" customHeight="1"/>
    <row r="1280" ht="27.75" customHeight="1"/>
    <row r="1281" ht="27.75" customHeight="1"/>
    <row r="1282" ht="45" customHeight="1"/>
    <row r="1283" ht="48" customHeight="1"/>
    <row r="1284" ht="27.75" customHeight="1"/>
    <row r="1285" ht="40.5" customHeight="1"/>
    <row r="1286" ht="19.5" customHeight="1"/>
    <row r="1287" ht="19.5" customHeight="1"/>
    <row r="1288" ht="19.5" customHeight="1"/>
    <row r="1307" ht="27.75" customHeight="1"/>
    <row r="1308" ht="27.75" customHeight="1"/>
    <row r="1309" ht="27.75" customHeight="1"/>
    <row r="1310" ht="27.75" customHeight="1"/>
    <row r="1311" ht="33" customHeight="1"/>
    <row r="1312" ht="28.5" customHeight="1"/>
    <row r="1313" ht="27.75" customHeight="1"/>
    <row r="1314" ht="27.75" customHeight="1"/>
    <row r="1315" ht="27.75" customHeight="1"/>
    <row r="1316" ht="27.75" customHeight="1"/>
    <row r="1317" ht="27.75" customHeight="1"/>
    <row r="1318" ht="45" customHeight="1"/>
    <row r="1319" ht="48" customHeight="1"/>
    <row r="1320" ht="27.75" customHeight="1"/>
    <row r="1321" ht="40.5" customHeight="1"/>
    <row r="1322" ht="19.5" customHeight="1"/>
    <row r="1323" ht="19.5" customHeight="1"/>
    <row r="1324" ht="19.5" customHeight="1"/>
    <row r="1343" ht="27.75" customHeight="1"/>
    <row r="1344" ht="27.75" customHeight="1"/>
    <row r="1345" ht="27.75" customHeight="1"/>
    <row r="1346" ht="27.75" customHeight="1"/>
    <row r="1347" ht="33" customHeight="1"/>
    <row r="1348" ht="28.5" customHeight="1"/>
    <row r="1349" ht="27.75" customHeight="1"/>
    <row r="1350" ht="27.75" customHeight="1"/>
    <row r="1351" ht="27.75" customHeight="1"/>
    <row r="1352" ht="27.75" customHeight="1"/>
    <row r="1353" ht="27.75" customHeight="1"/>
    <row r="1354" ht="45" customHeight="1"/>
    <row r="1355" ht="48" customHeight="1"/>
    <row r="1356" ht="27.75" customHeight="1"/>
    <row r="1357" ht="40.5" customHeight="1"/>
    <row r="1358" ht="19.5" customHeight="1"/>
    <row r="1359" ht="19.5" customHeight="1"/>
    <row r="1360" ht="19.5" customHeight="1"/>
    <row r="1379" ht="27.75" customHeight="1"/>
    <row r="1380" ht="27.75" customHeight="1"/>
    <row r="1381" ht="27.75" customHeight="1"/>
    <row r="1382" ht="27.75" customHeight="1"/>
    <row r="1383" ht="33" customHeight="1"/>
    <row r="1384" ht="28.5" customHeight="1"/>
    <row r="1385" ht="27.75" customHeight="1"/>
    <row r="1386" ht="27.75" customHeight="1"/>
    <row r="1387" ht="27.75" customHeight="1"/>
    <row r="1388" ht="27.75" customHeight="1"/>
    <row r="1389" ht="27.75" customHeight="1"/>
    <row r="1390" ht="45" customHeight="1"/>
    <row r="1391" ht="48" customHeight="1"/>
    <row r="1392" ht="27.75" customHeight="1"/>
    <row r="1393" ht="40.5" customHeight="1"/>
    <row r="1394" ht="19.5" customHeight="1"/>
    <row r="1395" ht="19.5" customHeight="1"/>
    <row r="1396" ht="19.5" customHeight="1"/>
    <row r="1415" ht="27.75" customHeight="1"/>
    <row r="1416" ht="27.75" customHeight="1"/>
    <row r="1417" ht="27.75" customHeight="1"/>
    <row r="1418" ht="27.75" customHeight="1"/>
    <row r="1419" ht="33" customHeight="1"/>
    <row r="1420" ht="28.5" customHeight="1"/>
    <row r="1421" ht="27.75" customHeight="1"/>
    <row r="1422" ht="27.75" customHeight="1"/>
    <row r="1423" ht="27.75" customHeight="1"/>
    <row r="1424" ht="27.75" customHeight="1"/>
    <row r="1425" ht="27.75" customHeight="1"/>
    <row r="1426" ht="45" customHeight="1"/>
    <row r="1427" ht="48" customHeight="1"/>
    <row r="1428" ht="27.75" customHeight="1"/>
    <row r="1429" ht="40.5" customHeight="1"/>
    <row r="1430" ht="19.5" customHeight="1"/>
    <row r="1431" ht="19.5" customHeight="1"/>
    <row r="1432" ht="19.5" customHeight="1"/>
    <row r="1451" ht="27.75" customHeight="1"/>
    <row r="1452" ht="27.75" customHeight="1"/>
    <row r="1453" ht="27.75" customHeight="1"/>
    <row r="1454" ht="27.75" customHeight="1"/>
    <row r="1455" ht="33" customHeight="1"/>
    <row r="1456" ht="28.5" customHeight="1"/>
    <row r="1457" ht="27.75" customHeight="1"/>
    <row r="1458" ht="27.75" customHeight="1"/>
    <row r="1459" ht="27.75" customHeight="1"/>
    <row r="1460" ht="27.75" customHeight="1"/>
    <row r="1461" ht="27.75" customHeight="1"/>
    <row r="1462" ht="45" customHeight="1"/>
    <row r="1463" ht="48" customHeight="1"/>
    <row r="1464" ht="27.75" customHeight="1"/>
    <row r="1465" ht="40.5" customHeight="1"/>
    <row r="1466" ht="19.5" customHeight="1"/>
    <row r="1467" ht="19.5" customHeight="1"/>
    <row r="1468" ht="19.5" customHeight="1"/>
    <row r="1487" ht="27.75" customHeight="1"/>
    <row r="1488" ht="27.75" customHeight="1"/>
    <row r="1489" ht="27.75" customHeight="1"/>
    <row r="1490" ht="27.75" customHeight="1"/>
    <row r="1491" ht="33" customHeight="1"/>
    <row r="1492" ht="28.5" customHeight="1"/>
    <row r="1493" ht="27.75" customHeight="1"/>
    <row r="1494" ht="27.75" customHeight="1"/>
    <row r="1495" ht="27.75" customHeight="1"/>
    <row r="1496" ht="27.75" customHeight="1"/>
    <row r="1497" ht="27.75" customHeight="1"/>
    <row r="1498" ht="45" customHeight="1"/>
    <row r="1499" ht="48" customHeight="1"/>
    <row r="1500" ht="27.75" customHeight="1"/>
    <row r="1501" ht="40.5" customHeight="1"/>
    <row r="1502" ht="19.5" customHeight="1"/>
    <row r="1503" ht="19.5" customHeight="1"/>
    <row r="1504" ht="19.5" customHeight="1"/>
    <row r="1523" ht="27.75" customHeight="1"/>
    <row r="1524" ht="27.75" customHeight="1"/>
    <row r="1525" ht="27.75" customHeight="1"/>
    <row r="1526" ht="27.75" customHeight="1"/>
    <row r="1527" ht="33" customHeight="1"/>
    <row r="1528" ht="28.5" customHeight="1"/>
    <row r="1529" ht="27.75" customHeight="1"/>
    <row r="1530" ht="27.75" customHeight="1"/>
    <row r="1531" ht="27.75" customHeight="1"/>
    <row r="1532" ht="27.75" customHeight="1"/>
    <row r="1533" ht="27.75" customHeight="1"/>
    <row r="1534" ht="45" customHeight="1"/>
    <row r="1535" ht="48" customHeight="1"/>
    <row r="1536" ht="27.75" customHeight="1"/>
    <row r="1537" ht="40.5" customHeight="1"/>
    <row r="1538" ht="19.5" customHeight="1"/>
    <row r="1539" ht="19.5" customHeight="1"/>
    <row r="1540" ht="19.5" customHeight="1"/>
    <row r="1559" ht="27.75" customHeight="1"/>
    <row r="1560" ht="27.75" customHeight="1"/>
    <row r="1561" ht="27.75" customHeight="1"/>
    <row r="1562" ht="27.75" customHeight="1"/>
    <row r="1563" ht="33" customHeight="1"/>
    <row r="1564" ht="28.5" customHeight="1"/>
    <row r="1565" ht="27.75" customHeight="1"/>
    <row r="1566" ht="27.75" customHeight="1"/>
    <row r="1567" ht="27.75" customHeight="1"/>
    <row r="1568" ht="27.75" customHeight="1"/>
    <row r="1569" ht="27.75" customHeight="1"/>
    <row r="1570" ht="45" customHeight="1"/>
    <row r="1571" ht="48" customHeight="1"/>
    <row r="1572" ht="27.75" customHeight="1"/>
    <row r="1573" ht="40.5" customHeight="1"/>
    <row r="1574" ht="19.5" customHeight="1"/>
    <row r="1575" ht="19.5" customHeight="1"/>
    <row r="1576" ht="19.5" customHeight="1"/>
    <row r="1595" ht="27.75" customHeight="1"/>
    <row r="1596" ht="27.75" customHeight="1"/>
    <row r="1597" ht="27.75" customHeight="1"/>
    <row r="1598" ht="27.75" customHeight="1"/>
    <row r="1599" ht="33" customHeight="1"/>
    <row r="1600" ht="28.5" customHeight="1"/>
    <row r="1601" ht="27.75" customHeight="1"/>
    <row r="1602" ht="27.75" customHeight="1"/>
    <row r="1603" ht="27.75" customHeight="1"/>
    <row r="1604" ht="27.75" customHeight="1"/>
    <row r="1605" ht="27.75" customHeight="1"/>
    <row r="1606" ht="45" customHeight="1"/>
    <row r="1607" ht="48" customHeight="1"/>
    <row r="1608" ht="27.75" customHeight="1"/>
    <row r="1609" ht="40.5" customHeight="1"/>
    <row r="1610" ht="19.5" customHeight="1"/>
    <row r="1611" ht="19.5" customHeight="1"/>
    <row r="1612" ht="19.5" customHeight="1"/>
    <row r="1631" ht="27.75" customHeight="1"/>
    <row r="1632" ht="27.75" customHeight="1"/>
    <row r="1633" ht="27.75" customHeight="1"/>
    <row r="1634" ht="27.75" customHeight="1"/>
    <row r="1635" ht="33" customHeight="1"/>
    <row r="1636" ht="28.5" customHeight="1"/>
    <row r="1637" ht="27.75" customHeight="1"/>
    <row r="1638" ht="27.75" customHeight="1"/>
    <row r="1639" ht="27.75" customHeight="1"/>
    <row r="1640" ht="27.75" customHeight="1"/>
    <row r="1641" ht="27.75" customHeight="1"/>
    <row r="1642" ht="45" customHeight="1"/>
    <row r="1643" ht="48" customHeight="1"/>
    <row r="1644" ht="27.75" customHeight="1"/>
    <row r="1645" ht="40.5" customHeight="1"/>
    <row r="1646" ht="19.5" customHeight="1"/>
    <row r="1647" ht="19.5" customHeight="1"/>
    <row r="1648" ht="19.5" customHeight="1"/>
    <row r="1667" ht="27.75" customHeight="1"/>
    <row r="1668" ht="27.75" customHeight="1"/>
    <row r="1669" ht="27.75" customHeight="1"/>
    <row r="1670" ht="27.75" customHeight="1"/>
    <row r="1671" ht="33" customHeight="1"/>
    <row r="1672" ht="28.5" customHeight="1"/>
    <row r="1673" ht="27.75" customHeight="1"/>
    <row r="1674" ht="27.75" customHeight="1"/>
    <row r="1675" ht="27.75" customHeight="1"/>
    <row r="1676" ht="27.75" customHeight="1"/>
    <row r="1677" ht="27.75" customHeight="1"/>
    <row r="1678" ht="45" customHeight="1"/>
    <row r="1679" ht="48" customHeight="1"/>
    <row r="1680" ht="27.75" customHeight="1"/>
    <row r="1681" ht="40.5" customHeight="1"/>
    <row r="1682" ht="19.5" customHeight="1"/>
    <row r="1683" ht="19.5" customHeight="1"/>
    <row r="1684" ht="19.5" customHeight="1"/>
    <row r="1703" ht="27.75" customHeight="1"/>
    <row r="1704" ht="27.75" customHeight="1"/>
    <row r="1705" ht="27.75" customHeight="1"/>
    <row r="1706" ht="27.75" customHeight="1"/>
    <row r="1707" ht="33" customHeight="1"/>
    <row r="1708" ht="28.5" customHeight="1"/>
    <row r="1709" ht="27.75" customHeight="1"/>
    <row r="1710" ht="27.75" customHeight="1"/>
    <row r="1711" ht="27.75" customHeight="1"/>
    <row r="1712" ht="27.75" customHeight="1"/>
    <row r="1713" ht="27.75" customHeight="1"/>
    <row r="1714" ht="45" customHeight="1"/>
    <row r="1715" ht="48" customHeight="1"/>
    <row r="1716" ht="27.75" customHeight="1"/>
    <row r="1717" ht="40.5" customHeight="1"/>
    <row r="1718" ht="19.5" customHeight="1"/>
    <row r="1719" ht="19.5" customHeight="1"/>
    <row r="1720" ht="19.5" customHeight="1"/>
    <row r="1739" ht="27.75" customHeight="1"/>
    <row r="1740" ht="27.75" customHeight="1"/>
    <row r="1741" ht="27.75" customHeight="1"/>
    <row r="1742" ht="27.75" customHeight="1"/>
    <row r="1743" ht="33" customHeight="1"/>
    <row r="1744" ht="28.5" customHeight="1"/>
    <row r="1745" ht="27.75" customHeight="1"/>
    <row r="1746" ht="27.75" customHeight="1"/>
    <row r="1747" ht="27.75" customHeight="1"/>
    <row r="1748" ht="27.75" customHeight="1"/>
    <row r="1749" ht="27.75" customHeight="1"/>
    <row r="1750" ht="45" customHeight="1"/>
    <row r="1751" ht="48" customHeight="1"/>
    <row r="1752" ht="27.75" customHeight="1"/>
    <row r="1753" ht="40.5" customHeight="1"/>
    <row r="1754" ht="19.5" customHeight="1"/>
    <row r="1755" ht="19.5" customHeight="1"/>
    <row r="1756" ht="19.5" customHeight="1"/>
    <row r="1775" ht="27.75" customHeight="1"/>
    <row r="1776" ht="27.75" customHeight="1"/>
    <row r="1777" ht="27.75" customHeight="1"/>
    <row r="1778" ht="27.75" customHeight="1"/>
    <row r="1779" ht="33" customHeight="1"/>
    <row r="1780" ht="28.5" customHeight="1"/>
    <row r="1781" ht="27.75" customHeight="1"/>
    <row r="1782" ht="27.75" customHeight="1"/>
    <row r="1783" ht="27.75" customHeight="1"/>
    <row r="1784" ht="27.75" customHeight="1"/>
    <row r="1785" ht="27.75" customHeight="1"/>
    <row r="1786" ht="45" customHeight="1"/>
    <row r="1787" ht="48" customHeight="1"/>
    <row r="1788" ht="27.75" customHeight="1"/>
    <row r="1789" ht="40.5" customHeight="1"/>
    <row r="1790" ht="19.5" customHeight="1"/>
    <row r="1791" ht="19.5" customHeight="1"/>
    <row r="1792" ht="19.5" customHeight="1"/>
    <row r="1811" ht="27.75" customHeight="1"/>
    <row r="1812" ht="27.75" customHeight="1"/>
    <row r="1813" ht="27.75" customHeight="1"/>
    <row r="1814" ht="27.75" customHeight="1"/>
    <row r="1815" ht="33" customHeight="1"/>
    <row r="1816" ht="28.5" customHeight="1"/>
    <row r="1817" ht="27.75" customHeight="1"/>
    <row r="1818" ht="27.75" customHeight="1"/>
    <row r="1819" ht="27.75" customHeight="1"/>
    <row r="1820" ht="27.75" customHeight="1"/>
    <row r="1821" ht="27.75" customHeight="1"/>
    <row r="1822" ht="45" customHeight="1"/>
    <row r="1823" ht="48" customHeight="1"/>
    <row r="1824" ht="27.75" customHeight="1"/>
    <row r="1825" ht="40.5" customHeight="1"/>
    <row r="1826" ht="19.5" customHeight="1"/>
    <row r="1827" ht="19.5" customHeight="1"/>
    <row r="1828" ht="19.5" customHeight="1"/>
    <row r="1847" ht="27.75" customHeight="1"/>
    <row r="1848" ht="27.75" customHeight="1"/>
    <row r="1849" ht="27.75" customHeight="1"/>
    <row r="1850" ht="27.75" customHeight="1"/>
    <row r="1851" ht="33" customHeight="1"/>
    <row r="1852" ht="28.5" customHeight="1"/>
    <row r="1853" ht="27.75" customHeight="1"/>
    <row r="1854" ht="27.75" customHeight="1"/>
    <row r="1855" ht="27.75" customHeight="1"/>
    <row r="1856" ht="27.75" customHeight="1"/>
    <row r="1857" ht="27.75" customHeight="1"/>
    <row r="1858" ht="45" customHeight="1"/>
    <row r="1859" ht="48" customHeight="1"/>
    <row r="1860" ht="27.75" customHeight="1"/>
    <row r="1861" ht="40.5" customHeight="1"/>
    <row r="1862" ht="19.5" customHeight="1"/>
    <row r="1863" ht="19.5" customHeight="1"/>
    <row r="1864" ht="19.5" customHeight="1"/>
    <row r="1883" ht="27.75" customHeight="1"/>
    <row r="1884" ht="27.75" customHeight="1"/>
    <row r="1885" ht="27.75" customHeight="1"/>
    <row r="1886" ht="27.75" customHeight="1"/>
    <row r="1887" ht="33" customHeight="1"/>
    <row r="1888" ht="28.5" customHeight="1"/>
    <row r="1889" ht="27.75" customHeight="1"/>
    <row r="1890" ht="27.75" customHeight="1"/>
    <row r="1891" ht="27.75" customHeight="1"/>
    <row r="1892" ht="27.75" customHeight="1"/>
    <row r="1893" ht="27.75" customHeight="1"/>
    <row r="1894" ht="45" customHeight="1"/>
    <row r="1895" ht="48" customHeight="1"/>
    <row r="1896" ht="27.75" customHeight="1"/>
    <row r="1897" ht="40.5" customHeight="1"/>
    <row r="1898" ht="19.5" customHeight="1"/>
    <row r="1899" ht="19.5" customHeight="1"/>
    <row r="1900" ht="19.5" customHeight="1"/>
    <row r="1919" ht="27.75" customHeight="1"/>
    <row r="1920" ht="27.75" customHeight="1"/>
    <row r="1921" ht="27.75" customHeight="1"/>
    <row r="1922" ht="27.75" customHeight="1"/>
    <row r="1923" ht="33" customHeight="1"/>
    <row r="1924" ht="28.5" customHeight="1"/>
    <row r="1925" ht="27.75" customHeight="1"/>
    <row r="1926" ht="27.75" customHeight="1"/>
    <row r="1927" ht="27.75" customHeight="1"/>
    <row r="1928" ht="27.75" customHeight="1"/>
    <row r="1929" ht="27.75" customHeight="1"/>
    <row r="1930" ht="45" customHeight="1"/>
    <row r="1931" ht="48" customHeight="1"/>
    <row r="1932" ht="27.75" customHeight="1"/>
    <row r="1933" ht="40.5" customHeight="1"/>
    <row r="1934" ht="19.5" customHeight="1"/>
    <row r="1935" ht="19.5" customHeight="1"/>
    <row r="1936" ht="19.5" customHeight="1"/>
    <row r="1955" ht="27.75" customHeight="1"/>
    <row r="1956" ht="27.75" customHeight="1"/>
    <row r="1957" ht="27.75" customHeight="1"/>
    <row r="1958" ht="27.75" customHeight="1"/>
    <row r="1959" ht="33" customHeight="1"/>
    <row r="1960" ht="28.5" customHeight="1"/>
    <row r="1961" ht="27.75" customHeight="1"/>
    <row r="1962" ht="27.75" customHeight="1"/>
    <row r="1963" ht="27.75" customHeight="1"/>
    <row r="1964" ht="27.75" customHeight="1"/>
    <row r="1965" ht="27.75" customHeight="1"/>
    <row r="1966" ht="45" customHeight="1"/>
    <row r="1967" ht="48" customHeight="1"/>
    <row r="1968" ht="27.75" customHeight="1"/>
    <row r="1969" ht="40.5" customHeight="1"/>
    <row r="1970" ht="19.5" customHeight="1"/>
    <row r="1971" ht="19.5" customHeight="1"/>
    <row r="1972" ht="19.5" customHeight="1"/>
    <row r="1991" ht="27.75" customHeight="1"/>
    <row r="1992" ht="27.75" customHeight="1"/>
    <row r="1993" ht="27.75" customHeight="1"/>
    <row r="1994" ht="27.75" customHeight="1"/>
    <row r="1995" ht="33" customHeight="1"/>
    <row r="1996" ht="28.5" customHeight="1"/>
    <row r="1997" ht="27.75" customHeight="1"/>
    <row r="1998" ht="27.75" customHeight="1"/>
    <row r="1999" ht="27.75" customHeight="1"/>
    <row r="2000" ht="27.75" customHeight="1"/>
    <row r="2001" ht="27.75" customHeight="1"/>
    <row r="2002" ht="45" customHeight="1"/>
    <row r="2003" ht="48" customHeight="1"/>
    <row r="2004" ht="27.75" customHeight="1"/>
    <row r="2005" ht="40.5" customHeight="1"/>
    <row r="2006" ht="19.5" customHeight="1"/>
    <row r="2007" ht="19.5" customHeight="1"/>
    <row r="2008" ht="19.5" customHeight="1"/>
    <row r="2027" ht="27.75" customHeight="1"/>
    <row r="2028" ht="27.75" customHeight="1"/>
    <row r="2029" ht="27.75" customHeight="1"/>
    <row r="2030" ht="27.75" customHeight="1"/>
    <row r="2031" ht="33" customHeight="1"/>
    <row r="2032" ht="28.5" customHeight="1"/>
    <row r="2033" ht="27.75" customHeight="1"/>
    <row r="2034" ht="27.75" customHeight="1"/>
    <row r="2035" ht="27.75" customHeight="1"/>
    <row r="2036" ht="27.75" customHeight="1"/>
    <row r="2037" ht="27.75" customHeight="1"/>
    <row r="2038" ht="45" customHeight="1"/>
    <row r="2039" ht="48" customHeight="1"/>
    <row r="2040" ht="27.75" customHeight="1"/>
    <row r="2041" ht="40.5" customHeight="1"/>
    <row r="2042" ht="19.5" customHeight="1"/>
    <row r="2043" ht="19.5" customHeight="1"/>
    <row r="2044" ht="19.5" customHeight="1"/>
    <row r="2063" ht="27.75" customHeight="1"/>
    <row r="2064" ht="27.75" customHeight="1"/>
    <row r="2065" ht="27.75" customHeight="1"/>
    <row r="2066" ht="27.75" customHeight="1"/>
    <row r="2067" ht="33" customHeight="1"/>
    <row r="2068" ht="28.5" customHeight="1"/>
    <row r="2069" ht="27.75" customHeight="1"/>
    <row r="2070" ht="27.75" customHeight="1"/>
    <row r="2071" ht="27.75" customHeight="1"/>
    <row r="2072" ht="27.75" customHeight="1"/>
    <row r="2073" ht="27.75" customHeight="1"/>
    <row r="2074" ht="45" customHeight="1"/>
    <row r="2075" ht="48" customHeight="1"/>
    <row r="2076" ht="27.75" customHeight="1"/>
    <row r="2077" ht="40.5" customHeight="1"/>
    <row r="2078" ht="19.5" customHeight="1"/>
    <row r="2079" ht="19.5" customHeight="1"/>
    <row r="2080" ht="19.5" customHeight="1"/>
    <row r="2099" ht="27.75" customHeight="1"/>
    <row r="2100" ht="27.75" customHeight="1"/>
    <row r="2101" ht="27.75" customHeight="1"/>
    <row r="2102" ht="27.75" customHeight="1"/>
    <row r="2103" ht="33" customHeight="1"/>
    <row r="2104" ht="28.5" customHeight="1"/>
    <row r="2105" ht="27.75" customHeight="1"/>
    <row r="2106" ht="27.75" customHeight="1"/>
    <row r="2107" ht="27.75" customHeight="1"/>
    <row r="2108" ht="27.75" customHeight="1"/>
    <row r="2109" ht="27.75" customHeight="1"/>
    <row r="2110" ht="45" customHeight="1"/>
    <row r="2111" ht="48" customHeight="1"/>
    <row r="2112" ht="27.75" customHeight="1"/>
    <row r="2113" ht="40.5" customHeight="1"/>
    <row r="2114" ht="19.5" customHeight="1"/>
    <row r="2115" ht="19.5" customHeight="1"/>
    <row r="2116" ht="19.5" customHeight="1"/>
    <row r="2135" ht="27.75" customHeight="1"/>
    <row r="2136" ht="27.75" customHeight="1"/>
    <row r="2137" ht="27.75" customHeight="1"/>
    <row r="2138" ht="27.75" customHeight="1"/>
    <row r="2139" ht="33" customHeight="1"/>
    <row r="2140" ht="28.5" customHeight="1"/>
    <row r="2141" ht="27.75" customHeight="1"/>
    <row r="2142" ht="27.75" customHeight="1"/>
    <row r="2143" ht="27.75" customHeight="1"/>
    <row r="2144" ht="27.75" customHeight="1"/>
    <row r="2145" ht="27.75" customHeight="1"/>
    <row r="2146" ht="45" customHeight="1"/>
    <row r="2147" ht="48" customHeight="1"/>
    <row r="2148" ht="27.75" customHeight="1"/>
    <row r="2149" ht="40.5" customHeight="1"/>
    <row r="2150" ht="19.5" customHeight="1"/>
    <row r="2151" ht="19.5" customHeight="1"/>
    <row r="2152" ht="19.5" customHeight="1"/>
    <row r="2171" ht="27.75" customHeight="1"/>
    <row r="2172" ht="27.75" customHeight="1"/>
    <row r="2173" ht="27.75" customHeight="1"/>
    <row r="2174" ht="27.75" customHeight="1"/>
    <row r="2175" ht="33" customHeight="1"/>
    <row r="2176" ht="28.5" customHeight="1"/>
    <row r="2177" ht="27.75" customHeight="1"/>
    <row r="2178" ht="27.75" customHeight="1"/>
    <row r="2179" ht="27.75" customHeight="1"/>
    <row r="2180" ht="27.75" customHeight="1"/>
    <row r="2181" ht="27.75" customHeight="1"/>
    <row r="2182" ht="45" customHeight="1"/>
    <row r="2183" ht="48" customHeight="1"/>
    <row r="2184" ht="27.75" customHeight="1"/>
    <row r="2185" ht="40.5" customHeight="1"/>
    <row r="2186" ht="19.5" customHeight="1"/>
    <row r="2187" ht="19.5" customHeight="1"/>
    <row r="2188" ht="19.5" customHeight="1"/>
    <row r="2207" ht="27.75" customHeight="1"/>
    <row r="2208" ht="27.75" customHeight="1"/>
    <row r="2209" ht="27.75" customHeight="1"/>
    <row r="2210" ht="27.75" customHeight="1"/>
    <row r="2211" ht="33" customHeight="1"/>
    <row r="2212" ht="28.5" customHeight="1"/>
    <row r="2213" ht="27.75" customHeight="1"/>
    <row r="2214" ht="27.75" customHeight="1"/>
    <row r="2215" ht="27.75" customHeight="1"/>
    <row r="2216" ht="27.75" customHeight="1"/>
    <row r="2217" ht="27.75" customHeight="1"/>
    <row r="2218" ht="45" customHeight="1"/>
    <row r="2219" ht="48" customHeight="1"/>
    <row r="2220" ht="27.75" customHeight="1"/>
    <row r="2221" ht="40.5" customHeight="1"/>
    <row r="2222" ht="19.5" customHeight="1"/>
    <row r="2223" ht="19.5" customHeight="1"/>
    <row r="2224" ht="19.5" customHeight="1"/>
    <row r="2243" ht="27.75" customHeight="1"/>
    <row r="2244" ht="27.75" customHeight="1"/>
    <row r="2245" ht="27.75" customHeight="1"/>
    <row r="2246" ht="27.75" customHeight="1"/>
    <row r="2247" ht="33" customHeight="1"/>
    <row r="2248" ht="28.5" customHeight="1"/>
    <row r="2249" ht="27.75" customHeight="1"/>
    <row r="2250" ht="27.75" customHeight="1"/>
    <row r="2251" ht="27.75" customHeight="1"/>
    <row r="2252" ht="27.75" customHeight="1"/>
    <row r="2253" ht="27.75" customHeight="1"/>
    <row r="2254" ht="45" customHeight="1"/>
    <row r="2255" ht="48" customHeight="1"/>
    <row r="2256" ht="27.75" customHeight="1"/>
    <row r="2257" ht="40.5" customHeight="1"/>
    <row r="2258" ht="19.5" customHeight="1"/>
    <row r="2259" ht="19.5" customHeight="1"/>
    <row r="2260" ht="19.5" customHeight="1"/>
    <row r="2279" ht="27.75" customHeight="1"/>
    <row r="2280" ht="27.75" customHeight="1"/>
    <row r="2281" ht="27.75" customHeight="1"/>
    <row r="2282" ht="27.75" customHeight="1"/>
    <row r="2283" ht="33" customHeight="1"/>
    <row r="2284" ht="28.5" customHeight="1"/>
    <row r="2285" ht="27.75" customHeight="1"/>
    <row r="2286" ht="27.75" customHeight="1"/>
    <row r="2287" ht="27.75" customHeight="1"/>
    <row r="2288" ht="27.75" customHeight="1"/>
    <row r="2289" ht="27.75" customHeight="1"/>
    <row r="2290" ht="45" customHeight="1"/>
    <row r="2291" ht="48" customHeight="1"/>
    <row r="2292" ht="27.75" customHeight="1"/>
    <row r="2293" ht="40.5" customHeight="1"/>
    <row r="2294" ht="19.5" customHeight="1"/>
    <row r="2295" ht="19.5" customHeight="1"/>
    <row r="2296" ht="19.5" customHeight="1"/>
    <row r="2315" ht="27.75" customHeight="1"/>
    <row r="2316" ht="27.75" customHeight="1"/>
    <row r="2317" ht="27.75" customHeight="1"/>
    <row r="2318" ht="27.75" customHeight="1"/>
    <row r="2319" ht="33" customHeight="1"/>
    <row r="2320" ht="28.5" customHeight="1"/>
    <row r="2321" ht="27.75" customHeight="1"/>
    <row r="2322" ht="27.75" customHeight="1"/>
    <row r="2323" ht="27.75" customHeight="1"/>
    <row r="2324" ht="27.75" customHeight="1"/>
    <row r="2325" ht="27.75" customHeight="1"/>
    <row r="2326" ht="45" customHeight="1"/>
    <row r="2327" ht="48" customHeight="1"/>
    <row r="2328" ht="27.75" customHeight="1"/>
    <row r="2329" ht="40.5" customHeight="1"/>
    <row r="2330" ht="19.5" customHeight="1"/>
    <row r="2331" ht="19.5" customHeight="1"/>
    <row r="2332" ht="19.5" customHeight="1"/>
    <row r="2350" ht="27.75" customHeight="1"/>
    <row r="2351" ht="27.75" customHeight="1"/>
    <row r="2352" ht="27.75" customHeight="1"/>
    <row r="2353" ht="27.75" customHeight="1"/>
    <row r="2354" ht="33" customHeight="1"/>
    <row r="2355" ht="28.5" customHeight="1"/>
    <row r="2356" ht="27.75" customHeight="1"/>
    <row r="2357" ht="27.75" customHeight="1"/>
    <row r="2358" ht="27.75" customHeight="1"/>
    <row r="2359" ht="27.75" customHeight="1"/>
    <row r="2360" ht="27.75" customHeight="1"/>
    <row r="2361" ht="45" customHeight="1"/>
    <row r="2362" ht="48" customHeight="1"/>
    <row r="2363" ht="27.75" customHeight="1"/>
    <row r="2364" ht="40.5" customHeight="1"/>
    <row r="2365" ht="19.5" customHeight="1"/>
    <row r="2366" ht="19.5" customHeight="1"/>
    <row r="2367" ht="19.5" customHeight="1"/>
    <row r="2386" ht="27.75" customHeight="1"/>
    <row r="2387" ht="27.75" customHeight="1"/>
    <row r="2388" ht="27.75" customHeight="1"/>
    <row r="2389" ht="27.75" customHeight="1"/>
    <row r="2390" ht="33" customHeight="1"/>
    <row r="2391" ht="28.5" customHeight="1"/>
    <row r="2392" ht="27.75" customHeight="1"/>
    <row r="2393" ht="27.75" customHeight="1"/>
    <row r="2394" ht="27.75" customHeight="1"/>
    <row r="2395" ht="27.75" customHeight="1"/>
    <row r="2396" ht="27.75" customHeight="1"/>
    <row r="2397" ht="45" customHeight="1"/>
    <row r="2398" ht="48" customHeight="1"/>
    <row r="2399" ht="27.75" customHeight="1"/>
    <row r="2400" ht="40.5" customHeight="1"/>
    <row r="2401" ht="19.5" customHeight="1"/>
    <row r="2402" ht="19.5" customHeight="1"/>
    <row r="2403" ht="19.5" customHeight="1"/>
    <row r="2422" ht="27.75" customHeight="1"/>
    <row r="2423" ht="27.75" customHeight="1"/>
    <row r="2424" ht="27.75" customHeight="1"/>
    <row r="2425" ht="27.75" customHeight="1"/>
    <row r="2426" ht="33" customHeight="1"/>
    <row r="2427" ht="28.5" customHeight="1"/>
    <row r="2428" ht="27.75" customHeight="1"/>
    <row r="2429" ht="27.75" customHeight="1"/>
    <row r="2430" ht="27.75" customHeight="1"/>
    <row r="2431" ht="27.75" customHeight="1"/>
    <row r="2432" ht="27.75" customHeight="1"/>
    <row r="2433" ht="45" customHeight="1"/>
    <row r="2434" ht="48" customHeight="1"/>
    <row r="2435" ht="27.75" customHeight="1"/>
    <row r="2436" ht="40.5" customHeight="1"/>
    <row r="2437" ht="19.5" customHeight="1"/>
    <row r="2438" ht="19.5" customHeight="1"/>
    <row r="2439" ht="19.5" customHeight="1"/>
    <row r="2458" ht="27.75" customHeight="1"/>
    <row r="2459" ht="27.75" customHeight="1"/>
    <row r="2460" ht="27.75" customHeight="1"/>
    <row r="2461" ht="27.75" customHeight="1"/>
    <row r="2462" ht="33" customHeight="1"/>
    <row r="2463" ht="28.5" customHeight="1"/>
    <row r="2464" ht="27.75" customHeight="1"/>
    <row r="2465" ht="27.75" customHeight="1"/>
    <row r="2466" ht="27.75" customHeight="1"/>
    <row r="2467" ht="27.75" customHeight="1"/>
    <row r="2468" ht="27.75" customHeight="1"/>
    <row r="2469" ht="45" customHeight="1"/>
    <row r="2470" ht="48" customHeight="1"/>
    <row r="2471" ht="27.75" customHeight="1"/>
    <row r="2472" ht="40.5" customHeight="1"/>
    <row r="2473" ht="19.5" customHeight="1"/>
    <row r="2474" ht="19.5" customHeight="1"/>
    <row r="2475" ht="19.5" customHeight="1"/>
    <row r="2494" ht="27.75" customHeight="1"/>
    <row r="2495" ht="27.75" customHeight="1"/>
    <row r="2496" ht="27.75" customHeight="1"/>
    <row r="2497" ht="27.75" customHeight="1"/>
    <row r="2498" ht="33" customHeight="1"/>
    <row r="2499" ht="28.5" customHeight="1"/>
    <row r="2500" ht="27.75" customHeight="1"/>
    <row r="2501" ht="27.75" customHeight="1"/>
    <row r="2502" ht="27.75" customHeight="1"/>
    <row r="2503" ht="27.75" customHeight="1"/>
    <row r="2504" ht="27.75" customHeight="1"/>
    <row r="2505" ht="45" customHeight="1"/>
    <row r="2506" ht="48" customHeight="1"/>
    <row r="2507" ht="27.75" customHeight="1"/>
    <row r="2508" ht="40.5" customHeight="1"/>
    <row r="2509" ht="19.5" customHeight="1"/>
    <row r="2510" ht="19.5" customHeight="1"/>
    <row r="2511" ht="19.5" customHeight="1"/>
    <row r="2530" ht="27.75" customHeight="1"/>
    <row r="2531" ht="27.75" customHeight="1"/>
    <row r="2532" ht="27.75" customHeight="1"/>
    <row r="2533" ht="27.75" customHeight="1"/>
    <row r="2534" ht="33" customHeight="1"/>
    <row r="2535" ht="28.5" customHeight="1"/>
    <row r="2536" ht="27.75" customHeight="1"/>
    <row r="2537" ht="27.75" customHeight="1"/>
    <row r="2538" ht="27.75" customHeight="1"/>
    <row r="2539" ht="27.75" customHeight="1"/>
    <row r="2540" ht="27.75" customHeight="1"/>
    <row r="2541" ht="45" customHeight="1"/>
    <row r="2542" ht="48" customHeight="1"/>
    <row r="2543" ht="27.75" customHeight="1"/>
    <row r="2544" ht="40.5" customHeight="1"/>
    <row r="2545" ht="19.5" customHeight="1"/>
    <row r="2546" ht="19.5" customHeight="1"/>
    <row r="2547" ht="19.5" customHeight="1"/>
    <row r="2566" ht="27.75" customHeight="1"/>
    <row r="2567" ht="27.75" customHeight="1"/>
    <row r="2568" ht="27.75" customHeight="1"/>
    <row r="2569" ht="27.75" customHeight="1"/>
    <row r="2570" ht="33" customHeight="1"/>
    <row r="2571" ht="28.5" customHeight="1"/>
    <row r="2572" ht="27.75" customHeight="1"/>
    <row r="2573" ht="27.75" customHeight="1"/>
    <row r="2574" ht="27.75" customHeight="1"/>
    <row r="2575" ht="27.75" customHeight="1"/>
    <row r="2576" ht="27.75" customHeight="1"/>
    <row r="2577" ht="45" customHeight="1"/>
    <row r="2578" ht="48" customHeight="1"/>
    <row r="2579" ht="27.75" customHeight="1"/>
    <row r="2580" ht="40.5" customHeight="1"/>
    <row r="2581" ht="19.5" customHeight="1"/>
    <row r="2582" ht="19.5" customHeight="1"/>
    <row r="2583" ht="19.5" customHeight="1"/>
    <row r="2602" ht="27.75" customHeight="1"/>
    <row r="2603" ht="27.75" customHeight="1"/>
    <row r="2604" ht="27.75" customHeight="1"/>
    <row r="2605" ht="27.75" customHeight="1"/>
    <row r="2606" ht="33" customHeight="1"/>
    <row r="2607" ht="28.5" customHeight="1"/>
    <row r="2608" ht="27.75" customHeight="1"/>
    <row r="2609" ht="27.75" customHeight="1"/>
    <row r="2610" ht="27.75" customHeight="1"/>
    <row r="2611" ht="27.75" customHeight="1"/>
    <row r="2612" ht="27.75" customHeight="1"/>
    <row r="2613" ht="45" customHeight="1"/>
    <row r="2614" ht="48" customHeight="1"/>
    <row r="2615" ht="27.75" customHeight="1"/>
    <row r="2616" ht="40.5" customHeight="1"/>
    <row r="2617" ht="19.5" customHeight="1"/>
    <row r="2618" ht="19.5" customHeight="1"/>
    <row r="2619" ht="19.5" customHeight="1"/>
    <row r="2638" ht="27.75" customHeight="1"/>
    <row r="2639" ht="27.75" customHeight="1"/>
    <row r="2640" ht="27.75" customHeight="1"/>
    <row r="2641" ht="27.75" customHeight="1"/>
    <row r="2642" ht="33" customHeight="1"/>
    <row r="2643" ht="28.5" customHeight="1"/>
    <row r="2644" ht="27.75" customHeight="1"/>
    <row r="2645" ht="27.75" customHeight="1"/>
    <row r="2646" ht="27.75" customHeight="1"/>
    <row r="2647" ht="27.75" customHeight="1"/>
    <row r="2648" ht="27.75" customHeight="1"/>
    <row r="2649" ht="45" customHeight="1"/>
    <row r="2650" ht="48" customHeight="1"/>
    <row r="2651" ht="27.75" customHeight="1"/>
    <row r="2652" ht="40.5" customHeight="1"/>
    <row r="2653" ht="19.5" customHeight="1"/>
    <row r="2654" ht="19.5" customHeight="1"/>
    <row r="2655" ht="19.5" customHeight="1"/>
    <row r="2674" ht="27.75" customHeight="1"/>
    <row r="2675" ht="27.75" customHeight="1"/>
    <row r="2676" ht="27.75" customHeight="1"/>
    <row r="2677" ht="27.75" customHeight="1"/>
    <row r="2678" ht="33" customHeight="1"/>
    <row r="2679" ht="28.5" customHeight="1"/>
    <row r="2680" ht="27.75" customHeight="1"/>
    <row r="2681" ht="27.75" customHeight="1"/>
    <row r="2682" ht="27.75" customHeight="1"/>
    <row r="2683" ht="27.75" customHeight="1"/>
    <row r="2684" ht="27.75" customHeight="1"/>
    <row r="2685" ht="45" customHeight="1"/>
    <row r="2686" ht="48" customHeight="1"/>
    <row r="2687" ht="27.75" customHeight="1"/>
    <row r="2688" ht="40.5" customHeight="1"/>
    <row r="2689" ht="19.5" customHeight="1"/>
    <row r="2690" ht="19.5" customHeight="1"/>
    <row r="2691" ht="19.5" customHeight="1"/>
    <row r="2710" ht="27.75" customHeight="1"/>
    <row r="2711" ht="27.75" customHeight="1"/>
    <row r="2712" ht="27.75" customHeight="1"/>
    <row r="2713" ht="27.75" customHeight="1"/>
    <row r="2714" ht="33" customHeight="1"/>
    <row r="2715" ht="28.5" customHeight="1"/>
    <row r="2716" ht="27.75" customHeight="1"/>
    <row r="2717" ht="27.75" customHeight="1"/>
    <row r="2718" ht="27.75" customHeight="1"/>
    <row r="2719" ht="27.75" customHeight="1"/>
    <row r="2720" ht="27.75" customHeight="1"/>
    <row r="2721" ht="45" customHeight="1"/>
    <row r="2722" ht="48" customHeight="1"/>
    <row r="2723" ht="27.75" customHeight="1"/>
    <row r="2724" ht="40.5" customHeight="1"/>
    <row r="2725" ht="19.5" customHeight="1"/>
    <row r="2726" ht="19.5" customHeight="1"/>
    <row r="2727" ht="19.5" customHeight="1"/>
    <row r="2746" ht="27.75" customHeight="1"/>
    <row r="2747" ht="27.75" customHeight="1"/>
    <row r="2748" ht="27.75" customHeight="1"/>
    <row r="2749" ht="27.75" customHeight="1"/>
    <row r="2750" ht="33" customHeight="1"/>
    <row r="2751" ht="28.5" customHeight="1"/>
    <row r="2752" ht="27.75" customHeight="1"/>
    <row r="2753" ht="27.75" customHeight="1"/>
    <row r="2754" ht="27.75" customHeight="1"/>
    <row r="2755" ht="27.75" customHeight="1"/>
    <row r="2756" ht="27.75" customHeight="1"/>
    <row r="2757" ht="45" customHeight="1"/>
    <row r="2758" ht="48" customHeight="1"/>
    <row r="2759" ht="27.75" customHeight="1"/>
    <row r="2760" ht="40.5" customHeight="1"/>
    <row r="2761" ht="19.5" customHeight="1"/>
    <row r="2762" ht="19.5" customHeight="1"/>
    <row r="2763" ht="19.5" customHeight="1"/>
    <row r="2782" ht="27.75" customHeight="1"/>
    <row r="2783" ht="27.75" customHeight="1"/>
    <row r="2784" ht="27.75" customHeight="1"/>
    <row r="2785" ht="27.75" customHeight="1"/>
    <row r="2786" ht="33" customHeight="1"/>
    <row r="2787" ht="28.5" customHeight="1"/>
    <row r="2788" ht="27.75" customHeight="1"/>
    <row r="2789" ht="27.75" customHeight="1"/>
    <row r="2790" ht="27.75" customHeight="1"/>
    <row r="2791" ht="27.75" customHeight="1"/>
    <row r="2792" ht="27.75" customHeight="1"/>
    <row r="2793" ht="45" customHeight="1"/>
    <row r="2794" ht="48" customHeight="1"/>
    <row r="2795" ht="27.75" customHeight="1"/>
    <row r="2796" ht="40.5" customHeight="1"/>
    <row r="2797" ht="19.5" customHeight="1"/>
    <row r="2798" ht="19.5" customHeight="1"/>
    <row r="2799" ht="19.5" customHeight="1"/>
    <row r="2818" ht="27.75" customHeight="1"/>
    <row r="2819" ht="27.75" customHeight="1"/>
    <row r="2820" ht="27.75" customHeight="1"/>
    <row r="2821" ht="27.75" customHeight="1"/>
    <row r="2822" ht="33" customHeight="1"/>
    <row r="2823" ht="28.5" customHeight="1"/>
    <row r="2824" ht="27.75" customHeight="1"/>
    <row r="2825" ht="27.75" customHeight="1"/>
    <row r="2826" ht="27.75" customHeight="1"/>
    <row r="2827" ht="27.75" customHeight="1"/>
    <row r="2828" ht="27.75" customHeight="1"/>
    <row r="2829" ht="45" customHeight="1"/>
    <row r="2830" ht="48" customHeight="1"/>
    <row r="2831" ht="27.75" customHeight="1"/>
    <row r="2832" ht="40.5" customHeight="1"/>
    <row r="2833" ht="19.5" customHeight="1"/>
    <row r="2834" ht="19.5" customHeight="1"/>
    <row r="2835" ht="19.5" customHeight="1"/>
    <row r="2854" ht="27.75" customHeight="1"/>
    <row r="2855" ht="27.75" customHeight="1"/>
    <row r="2856" ht="27.75" customHeight="1"/>
    <row r="2857" ht="27.75" customHeight="1"/>
    <row r="2858" ht="33" customHeight="1"/>
    <row r="2859" ht="28.5" customHeight="1"/>
    <row r="2860" ht="27.75" customHeight="1"/>
    <row r="2861" ht="27.75" customHeight="1"/>
    <row r="2862" ht="27.75" customHeight="1"/>
    <row r="2863" ht="27.75" customHeight="1"/>
    <row r="2864" ht="27.75" customHeight="1"/>
    <row r="2865" ht="45" customHeight="1"/>
    <row r="2866" ht="48" customHeight="1"/>
    <row r="2867" ht="27.75" customHeight="1"/>
    <row r="2868" ht="40.5" customHeight="1"/>
    <row r="2869" ht="19.5" customHeight="1"/>
    <row r="2870" ht="19.5" customHeight="1"/>
    <row r="2871" ht="19.5" customHeight="1"/>
    <row r="2890" ht="27.75" customHeight="1"/>
    <row r="2891" ht="27.75" customHeight="1"/>
    <row r="2892" ht="27.75" customHeight="1"/>
    <row r="2893" ht="27.75" customHeight="1"/>
    <row r="2894" ht="33" customHeight="1"/>
    <row r="2895" ht="28.5" customHeight="1"/>
    <row r="2896" ht="27.75" customHeight="1"/>
    <row r="2897" ht="27.75" customHeight="1"/>
    <row r="2898" ht="27.75" customHeight="1"/>
    <row r="2899" ht="27.75" customHeight="1"/>
    <row r="2900" ht="27.75" customHeight="1"/>
    <row r="2901" ht="45" customHeight="1"/>
    <row r="2902" ht="48" customHeight="1"/>
    <row r="2903" ht="27.75" customHeight="1"/>
    <row r="2904" ht="40.5" customHeight="1"/>
    <row r="2905" ht="19.5" customHeight="1"/>
    <row r="2906" ht="19.5" customHeight="1"/>
    <row r="2907" ht="19.5" customHeight="1"/>
    <row r="2926" ht="27.75" customHeight="1"/>
    <row r="2927" ht="27.75" customHeight="1"/>
    <row r="2928" ht="27.75" customHeight="1"/>
    <row r="2929" ht="27.75" customHeight="1"/>
    <row r="2930" ht="33" customHeight="1"/>
    <row r="2931" ht="28.5" customHeight="1"/>
    <row r="2932" ht="27.75" customHeight="1"/>
    <row r="2933" ht="27.75" customHeight="1"/>
    <row r="2934" ht="27.75" customHeight="1"/>
    <row r="2935" ht="27.75" customHeight="1"/>
    <row r="2936" ht="27.75" customHeight="1"/>
    <row r="2937" ht="45" customHeight="1"/>
    <row r="2938" ht="48" customHeight="1"/>
    <row r="2939" ht="27.75" customHeight="1"/>
    <row r="2940" ht="40.5" customHeight="1"/>
    <row r="2941" ht="19.5" customHeight="1"/>
    <row r="2942" ht="19.5" customHeight="1"/>
    <row r="2943" ht="19.5" customHeight="1"/>
    <row r="2962" ht="27.75" customHeight="1"/>
    <row r="2963" ht="27.75" customHeight="1"/>
    <row r="2964" ht="27.75" customHeight="1"/>
    <row r="2965" ht="27.75" customHeight="1"/>
    <row r="2966" ht="33" customHeight="1"/>
    <row r="2967" ht="28.5" customHeight="1"/>
    <row r="2968" ht="27.75" customHeight="1"/>
    <row r="2969" ht="27.75" customHeight="1"/>
    <row r="2970" ht="27.75" customHeight="1"/>
    <row r="2971" ht="27.75" customHeight="1"/>
    <row r="2972" ht="27.75" customHeight="1"/>
    <row r="2973" ht="45" customHeight="1"/>
    <row r="2974" ht="48" customHeight="1"/>
    <row r="2975" ht="27.75" customHeight="1"/>
    <row r="2976" ht="40.5" customHeight="1"/>
    <row r="2977" ht="19.5" customHeight="1"/>
    <row r="2978" ht="19.5" customHeight="1"/>
    <row r="2979" ht="19.5" customHeight="1"/>
    <row r="2998" ht="27.75" customHeight="1"/>
    <row r="2999" ht="27.75" customHeight="1"/>
    <row r="3000" ht="27.75" customHeight="1"/>
    <row r="3001" ht="27.75" customHeight="1"/>
    <row r="3002" ht="33" customHeight="1"/>
    <row r="3003" ht="28.5" customHeight="1"/>
    <row r="3004" ht="27.75" customHeight="1"/>
    <row r="3005" ht="27.75" customHeight="1"/>
    <row r="3006" ht="27.75" customHeight="1"/>
    <row r="3007" ht="27.75" customHeight="1"/>
    <row r="3008" ht="27.75" customHeight="1"/>
    <row r="3009" ht="45" customHeight="1"/>
    <row r="3010" ht="48" customHeight="1"/>
    <row r="3011" ht="27.75" customHeight="1"/>
    <row r="3012" ht="40.5" customHeight="1"/>
    <row r="3013" ht="19.5" customHeight="1"/>
    <row r="3014" ht="19.5" customHeight="1"/>
    <row r="3015" ht="19.5" customHeight="1"/>
    <row r="3046" ht="27.75" customHeight="1"/>
    <row r="3047" ht="27.75" customHeight="1"/>
    <row r="3048" ht="27.75" customHeight="1"/>
    <row r="3049" ht="27.75" customHeight="1"/>
    <row r="3050" ht="33" customHeight="1"/>
    <row r="3051" ht="28.5" customHeight="1"/>
    <row r="3052" ht="27.75" customHeight="1"/>
    <row r="3053" ht="27.75" customHeight="1"/>
    <row r="3054" ht="27.75" customHeight="1"/>
    <row r="3055" ht="27.75" customHeight="1"/>
    <row r="3056" ht="27.75" customHeight="1"/>
    <row r="3057" ht="45" customHeight="1"/>
    <row r="3058" ht="48" customHeight="1"/>
    <row r="3059" ht="27.75" customHeight="1"/>
    <row r="3060" ht="40.5" customHeight="1"/>
    <row r="3061" ht="19.5" customHeight="1"/>
    <row r="3062" ht="19.5" customHeight="1"/>
    <row r="3063" ht="19.5" customHeight="1"/>
    <row r="3082" ht="27.75" customHeight="1"/>
    <row r="3083" ht="27.75" customHeight="1"/>
    <row r="3084" ht="27.75" customHeight="1"/>
    <row r="3085" ht="27.75" customHeight="1"/>
    <row r="3086" ht="33" customHeight="1"/>
    <row r="3087" ht="28.5" customHeight="1"/>
    <row r="3088" ht="27.75" customHeight="1"/>
    <row r="3089" ht="27.75" customHeight="1"/>
    <row r="3090" ht="27.75" customHeight="1"/>
    <row r="3091" ht="27.75" customHeight="1"/>
    <row r="3092" ht="27.75" customHeight="1"/>
    <row r="3093" ht="45" customHeight="1"/>
    <row r="3094" ht="48" customHeight="1"/>
    <row r="3095" ht="27.75" customHeight="1"/>
    <row r="3096" ht="40.5" customHeight="1"/>
    <row r="3097" ht="19.5" customHeight="1"/>
    <row r="3098" ht="19.5" customHeight="1"/>
    <row r="3099" ht="19.5" customHeight="1"/>
    <row r="3158" ht="39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.75" customHeight="1"/>
    <row r="3725" ht="27.75" customHeight="1"/>
    <row r="3726" ht="27.75" customHeight="1"/>
    <row r="3727" ht="27.75" customHeight="1"/>
    <row r="3728" ht="27.75" customHeight="1"/>
    <row r="3729" ht="27.75" customHeight="1"/>
    <row r="3730" ht="27.75" customHeight="1"/>
    <row r="3731" ht="27.75" customHeight="1"/>
    <row r="3732" ht="27.75" customHeight="1"/>
    <row r="3733" ht="27.75" customHeight="1"/>
    <row r="3734" ht="27.75" customHeight="1"/>
    <row r="3735" ht="27.75" customHeight="1"/>
    <row r="3736" ht="27.75" customHeight="1"/>
    <row r="3737" ht="48" customHeight="1"/>
    <row r="3738" ht="27.75" customHeight="1"/>
    <row r="3744" ht="16.5" customHeight="1"/>
    <row r="3748" ht="16.5" customHeight="1"/>
    <row r="3775" ht="30" customHeight="1"/>
    <row r="3780" ht="27.75" customHeight="1"/>
    <row r="3781" ht="27.75" customHeight="1"/>
    <row r="3782" ht="27.75" customHeight="1"/>
    <row r="3783" ht="27.75" customHeight="1"/>
    <row r="3784" ht="27.75" customHeight="1"/>
    <row r="3785" ht="27.75" customHeight="1"/>
    <row r="3786" ht="27.75" customHeight="1"/>
    <row r="3787" ht="27.75" customHeight="1"/>
    <row r="3788" ht="27.75" customHeight="1"/>
    <row r="3789" ht="27.75" customHeight="1"/>
    <row r="3790" ht="27.75" customHeight="1"/>
    <row r="3791" ht="27.75" customHeight="1"/>
    <row r="3792" ht="41.25" customHeight="1"/>
    <row r="3793" ht="27.75" customHeight="1"/>
    <row r="3794" ht="25.5" customHeight="1"/>
  </sheetData>
  <mergeCells count="45">
    <mergeCell ref="D54:E54"/>
    <mergeCell ref="F54:R54"/>
    <mergeCell ref="D55:E55"/>
    <mergeCell ref="F55:R55"/>
    <mergeCell ref="D51:E51"/>
    <mergeCell ref="F51:R51"/>
    <mergeCell ref="D52:E52"/>
    <mergeCell ref="F52:R52"/>
    <mergeCell ref="D53:E53"/>
    <mergeCell ref="F53:R53"/>
    <mergeCell ref="D48:E48"/>
    <mergeCell ref="F48:R48"/>
    <mergeCell ref="D49:E49"/>
    <mergeCell ref="F49:R49"/>
    <mergeCell ref="D50:E50"/>
    <mergeCell ref="F50:R50"/>
    <mergeCell ref="D45:E45"/>
    <mergeCell ref="F45:R45"/>
    <mergeCell ref="D46:E46"/>
    <mergeCell ref="F46:R46"/>
    <mergeCell ref="D47:E47"/>
    <mergeCell ref="F47:R47"/>
    <mergeCell ref="B2:R2"/>
    <mergeCell ref="C6:H6"/>
    <mergeCell ref="I6:R6"/>
    <mergeCell ref="B34:C34"/>
    <mergeCell ref="D34:G34"/>
    <mergeCell ref="B35:C35"/>
    <mergeCell ref="D35:G35"/>
    <mergeCell ref="B38:C43"/>
    <mergeCell ref="D38:E38"/>
    <mergeCell ref="F38:R38"/>
    <mergeCell ref="D39:E39"/>
    <mergeCell ref="F39:R39"/>
    <mergeCell ref="D40:E40"/>
    <mergeCell ref="F40:R40"/>
    <mergeCell ref="D41:E41"/>
    <mergeCell ref="F41:R41"/>
    <mergeCell ref="D42:E42"/>
    <mergeCell ref="F42:R42"/>
    <mergeCell ref="D43:E43"/>
    <mergeCell ref="F43:R43"/>
    <mergeCell ref="B44:C55"/>
    <mergeCell ref="D44:E44"/>
    <mergeCell ref="F44:R44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33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69</vt:i4>
      </vt:variant>
    </vt:vector>
  </HeadingPairs>
  <TitlesOfParts>
    <vt:vector size="75" baseType="lpstr">
      <vt:lpstr>Main</vt:lpstr>
      <vt:lpstr>Template</vt:lpstr>
      <vt:lpstr>data</vt:lpstr>
      <vt:lpstr>Report</vt:lpstr>
      <vt:lpstr>Rank</vt:lpstr>
      <vt:lpstr>Report (Final)</vt:lpstr>
      <vt:lpstr>data!D_\home\ricardo\Tripda\Modelo_DW\tripda_data_warehouse\report_queries\reports\report_generator.csv</vt:lpstr>
      <vt:lpstr>Main!Print_Area</vt:lpstr>
      <vt:lpstr>data!report_generator</vt:lpstr>
      <vt:lpstr>data!report_generator_1</vt:lpstr>
      <vt:lpstr>data!report_generator_10</vt:lpstr>
      <vt:lpstr>data!report_generator_11</vt:lpstr>
      <vt:lpstr>data!report_generator_12</vt:lpstr>
      <vt:lpstr>data!report_generator_13</vt:lpstr>
      <vt:lpstr>data!report_generator_14</vt:lpstr>
      <vt:lpstr>data!report_generator_15</vt:lpstr>
      <vt:lpstr>data!report_generator_16</vt:lpstr>
      <vt:lpstr>data!report_generator_17</vt:lpstr>
      <vt:lpstr>data!report_generator_18</vt:lpstr>
      <vt:lpstr>data!report_generator_19</vt:lpstr>
      <vt:lpstr>data!report_generator_2</vt:lpstr>
      <vt:lpstr>data!report_generator_20</vt:lpstr>
      <vt:lpstr>data!report_generator_21</vt:lpstr>
      <vt:lpstr>data!report_generator_22</vt:lpstr>
      <vt:lpstr>data!report_generator_23</vt:lpstr>
      <vt:lpstr>data!report_generator_24</vt:lpstr>
      <vt:lpstr>data!report_generator_25</vt:lpstr>
      <vt:lpstr>data!report_generator_26</vt:lpstr>
      <vt:lpstr>data!report_generator_27</vt:lpstr>
      <vt:lpstr>data!report_generator_28</vt:lpstr>
      <vt:lpstr>data!report_generator_29</vt:lpstr>
      <vt:lpstr>data!report_generator_3</vt:lpstr>
      <vt:lpstr>data!report_generator_30</vt:lpstr>
      <vt:lpstr>data!report_generator_31</vt:lpstr>
      <vt:lpstr>data!report_generator_32</vt:lpstr>
      <vt:lpstr>data!report_generator_33</vt:lpstr>
      <vt:lpstr>data!report_generator_34</vt:lpstr>
      <vt:lpstr>data!report_generator_35</vt:lpstr>
      <vt:lpstr>data!report_generator_36</vt:lpstr>
      <vt:lpstr>data!report_generator_37</vt:lpstr>
      <vt:lpstr>data!report_generator_38</vt:lpstr>
      <vt:lpstr>data!report_generator_39</vt:lpstr>
      <vt:lpstr>data!report_generator_4</vt:lpstr>
      <vt:lpstr>data!report_generator_40</vt:lpstr>
      <vt:lpstr>data!report_generator_41</vt:lpstr>
      <vt:lpstr>data!report_generator_42</vt:lpstr>
      <vt:lpstr>data!report_generator_43</vt:lpstr>
      <vt:lpstr>data!report_generator_44</vt:lpstr>
      <vt:lpstr>data!report_generator_45</vt:lpstr>
      <vt:lpstr>data!report_generator_46</vt:lpstr>
      <vt:lpstr>data!report_generator_47</vt:lpstr>
      <vt:lpstr>data!report_generator_48</vt:lpstr>
      <vt:lpstr>data!report_generator_49</vt:lpstr>
      <vt:lpstr>data!report_generator_5</vt:lpstr>
      <vt:lpstr>data!report_generator_50</vt:lpstr>
      <vt:lpstr>data!report_generator_51</vt:lpstr>
      <vt:lpstr>data!report_generator_52</vt:lpstr>
      <vt:lpstr>data!report_generator_53</vt:lpstr>
      <vt:lpstr>data!report_generator_54</vt:lpstr>
      <vt:lpstr>data!report_generator_55</vt:lpstr>
      <vt:lpstr>data!report_generator_56</vt:lpstr>
      <vt:lpstr>data!report_generator_57</vt:lpstr>
      <vt:lpstr>data!report_generator_58</vt:lpstr>
      <vt:lpstr>data!report_generator_59</vt:lpstr>
      <vt:lpstr>data!report_generator_6</vt:lpstr>
      <vt:lpstr>data!report_generator_60</vt:lpstr>
      <vt:lpstr>data!report_generator_61</vt:lpstr>
      <vt:lpstr>data!report_generator_62</vt:lpstr>
      <vt:lpstr>data!report_generator_63</vt:lpstr>
      <vt:lpstr>data!report_generator_64</vt:lpstr>
      <vt:lpstr>data!report_generator_65</vt:lpstr>
      <vt:lpstr>data!report_generator_66</vt:lpstr>
      <vt:lpstr>data!report_generator_7</vt:lpstr>
      <vt:lpstr>data!report_generator_8</vt:lpstr>
      <vt:lpstr>data!report_generator_9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Nakano</dc:creator>
  <cp:lastModifiedBy>ricardo</cp:lastModifiedBy>
  <cp:lastPrinted>2016-01-27T01:20:56Z</cp:lastPrinted>
  <dcterms:created xsi:type="dcterms:W3CDTF">2015-01-16T18:43:41Z</dcterms:created>
  <dcterms:modified xsi:type="dcterms:W3CDTF">2016-01-27T18:51:35Z</dcterms:modified>
</cp:coreProperties>
</file>